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9/PXD018886_Gygi-2021/results_files/"/>
    </mc:Choice>
  </mc:AlternateContent>
  <xr:revisionPtr revIDLastSave="0" documentId="8_{2A0F61F6-523D-9B48-B889-56CAB1C5CD7A}" xr6:coauthVersionLast="47" xr6:coauthVersionMax="47" xr10:uidLastSave="{00000000-0000-0000-0000-000000000000}"/>
  <bookViews>
    <workbookView xWindow="51200" yWindow="520" windowWidth="25920" windowHeight="28300" activeTab="1" xr2:uid="{83173644-AE3F-B941-8263-47FA481546EB}"/>
  </bookViews>
  <sheets>
    <sheet name="cc_samples_annot" sheetId="1" r:id="rId1"/>
    <sheet name="dataset_stats" sheetId="2" r:id="rId2"/>
  </sheets>
  <definedNames>
    <definedName name="_xlnm._FilterDatabase" localSheetId="1" hidden="1">dataset_stats!$A$29:$E$29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H26" i="2"/>
  <c r="G26" i="2"/>
  <c r="F26" i="2"/>
  <c r="E26" i="2"/>
  <c r="C26" i="2"/>
  <c r="B26" i="2"/>
  <c r="D25" i="2"/>
  <c r="H14" i="2"/>
  <c r="H15" i="2"/>
  <c r="H16" i="2"/>
  <c r="H17" i="2"/>
  <c r="H18" i="2"/>
  <c r="H19" i="2"/>
  <c r="H20" i="2"/>
  <c r="H21" i="2"/>
  <c r="H22" i="2"/>
  <c r="H23" i="2"/>
  <c r="H24" i="2"/>
  <c r="H25" i="2"/>
  <c r="H13" i="2"/>
  <c r="G25" i="2"/>
  <c r="F25" i="2"/>
  <c r="E25" i="2"/>
  <c r="C25" i="2"/>
  <c r="B25" i="2"/>
  <c r="D14" i="2"/>
  <c r="D15" i="2"/>
  <c r="D16" i="2"/>
  <c r="D17" i="2"/>
  <c r="D18" i="2"/>
  <c r="D19" i="2"/>
  <c r="D20" i="2"/>
  <c r="D21" i="2"/>
  <c r="D22" i="2"/>
  <c r="D23" i="2"/>
  <c r="D24" i="2"/>
  <c r="D13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30" i="2"/>
  <c r="F7" i="2"/>
  <c r="F8" i="2"/>
  <c r="F9" i="2"/>
  <c r="F6" i="2"/>
  <c r="E9" i="2"/>
  <c r="E8" i="2"/>
  <c r="E7" i="2"/>
  <c r="C8" i="2"/>
  <c r="C9" i="2"/>
  <c r="C10" i="2"/>
  <c r="C7" i="2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34" i="1"/>
  <c r="J35" i="1"/>
  <c r="J36" i="1"/>
  <c r="J37" i="1"/>
  <c r="J38" i="1"/>
  <c r="J40" i="1"/>
  <c r="J41" i="1"/>
  <c r="J42" i="1"/>
  <c r="J43" i="1"/>
  <c r="J44" i="1"/>
  <c r="J45" i="1"/>
  <c r="J46" i="1"/>
  <c r="J47" i="1"/>
  <c r="J48" i="1"/>
  <c r="J49" i="1"/>
  <c r="J50" i="1"/>
  <c r="J52" i="1"/>
  <c r="J53" i="1"/>
  <c r="J54" i="1"/>
  <c r="J55" i="1"/>
  <c r="J56" i="1"/>
  <c r="J57" i="1"/>
  <c r="J58" i="1"/>
  <c r="J59" i="1"/>
  <c r="J60" i="1"/>
  <c r="J61" i="1"/>
  <c r="J62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82" i="1"/>
  <c r="J83" i="1"/>
  <c r="J84" i="1"/>
  <c r="J85" i="1"/>
  <c r="J86" i="1"/>
  <c r="J88" i="1"/>
  <c r="J89" i="1"/>
  <c r="J90" i="1"/>
  <c r="J91" i="1"/>
  <c r="J92" i="1"/>
  <c r="J93" i="1"/>
  <c r="J94" i="1"/>
  <c r="J95" i="1"/>
  <c r="J96" i="1"/>
  <c r="J97" i="1"/>
  <c r="J98" i="1"/>
  <c r="J100" i="1"/>
  <c r="J101" i="1"/>
  <c r="J102" i="1"/>
  <c r="J103" i="1"/>
  <c r="J104" i="1"/>
  <c r="J105" i="1"/>
  <c r="J106" i="1"/>
  <c r="J107" i="1"/>
  <c r="J108" i="1"/>
  <c r="J109" i="1"/>
  <c r="J110" i="1"/>
  <c r="J112" i="1"/>
  <c r="J113" i="1"/>
  <c r="J114" i="1"/>
  <c r="J115" i="1"/>
  <c r="J116" i="1"/>
  <c r="J117" i="1"/>
  <c r="J118" i="1"/>
  <c r="J119" i="1"/>
  <c r="J120" i="1"/>
  <c r="J121" i="1"/>
  <c r="J122" i="1"/>
  <c r="J124" i="1"/>
  <c r="J125" i="1"/>
  <c r="J126" i="1"/>
  <c r="J127" i="1"/>
  <c r="J128" i="1"/>
  <c r="J129" i="1"/>
  <c r="J130" i="1"/>
  <c r="J131" i="1"/>
  <c r="J132" i="1"/>
  <c r="J133" i="1"/>
  <c r="J134" i="1"/>
  <c r="J136" i="1"/>
  <c r="J137" i="1"/>
  <c r="J138" i="1"/>
  <c r="J139" i="1"/>
  <c r="J140" i="1"/>
  <c r="J141" i="1"/>
  <c r="J142" i="1"/>
  <c r="J143" i="1"/>
  <c r="J144" i="1"/>
  <c r="J145" i="1"/>
  <c r="J146" i="1"/>
  <c r="J4" i="1"/>
</calcChain>
</file>

<file path=xl/sharedStrings.xml><?xml version="1.0" encoding="utf-8"?>
<sst xmlns="http://schemas.openxmlformats.org/spreadsheetml/2006/main" count="991" uniqueCount="673">
  <si>
    <t>Strain</t>
  </si>
  <si>
    <t>ShortStrain</t>
  </si>
  <si>
    <t>Birthdate</t>
  </si>
  <si>
    <t>Sex</t>
  </si>
  <si>
    <t>MouseID</t>
  </si>
  <si>
    <t>TMT</t>
  </si>
  <si>
    <t>Batch</t>
  </si>
  <si>
    <t>CC004/TauUnc</t>
  </si>
  <si>
    <t>CC004</t>
  </si>
  <si>
    <t>M</t>
  </si>
  <si>
    <t>CC004-M-5711</t>
  </si>
  <si>
    <t>TMT1~126_sn_scaled</t>
  </si>
  <si>
    <t>CC057/Unc</t>
  </si>
  <si>
    <t>CC057</t>
  </si>
  <si>
    <t>F</t>
  </si>
  <si>
    <t>CC057-F-1560</t>
  </si>
  <si>
    <t>TMT1~127n_sn_scaled</t>
  </si>
  <si>
    <t>CC042/GeniUnc</t>
  </si>
  <si>
    <t>CC042</t>
  </si>
  <si>
    <t>CC042-M-5702</t>
  </si>
  <si>
    <t>TMT1~127c_sn_scaled</t>
  </si>
  <si>
    <t>CC013/GeniUnc</t>
  </si>
  <si>
    <t>CC013</t>
  </si>
  <si>
    <t>CC013-M-2268</t>
  </si>
  <si>
    <t>TMT1~128n_sn_scaled</t>
  </si>
  <si>
    <t>CC002/Unc</t>
  </si>
  <si>
    <t>CC002</t>
  </si>
  <si>
    <t>CC002-M-5749</t>
  </si>
  <si>
    <t>TMT1~128c_sn_scaled</t>
  </si>
  <si>
    <t>CC043/GeniUnc</t>
  </si>
  <si>
    <t>CC043</t>
  </si>
  <si>
    <t>CC043-M-1866</t>
  </si>
  <si>
    <t>TMT1~129n_sn_scaled</t>
  </si>
  <si>
    <t>CC041/TauUnc</t>
  </si>
  <si>
    <t>CC041</t>
  </si>
  <si>
    <t>CC041-F-7072</t>
  </si>
  <si>
    <t>TMT1~129c_sn_scaled</t>
  </si>
  <si>
    <t>CC033/GeniUnc</t>
  </si>
  <si>
    <t>CC033</t>
  </si>
  <si>
    <t>CC033-M-1365</t>
  </si>
  <si>
    <t>TMT1~130n_sn_scaled</t>
  </si>
  <si>
    <t>CC040/TauUnc</t>
  </si>
  <si>
    <t>CC040</t>
  </si>
  <si>
    <t>CC040-F-6194</t>
  </si>
  <si>
    <t>TMT1~130c_sn_scaled</t>
  </si>
  <si>
    <t>CC072/TauUnc</t>
  </si>
  <si>
    <t>CC072</t>
  </si>
  <si>
    <t>CC072-M-4387</t>
  </si>
  <si>
    <t>TMT1~131_sn_scaled</t>
  </si>
  <si>
    <t xml:space="preserve">Bridge </t>
  </si>
  <si>
    <t>TMT1~131c_sn_scaled</t>
  </si>
  <si>
    <t>CC025/GeniUnc</t>
  </si>
  <si>
    <t>CC025</t>
  </si>
  <si>
    <t>CC025-M-1753</t>
  </si>
  <si>
    <t>TMT2~126_sn_scaled</t>
  </si>
  <si>
    <t>CC045/GeniUnc</t>
  </si>
  <si>
    <t>CC045</t>
  </si>
  <si>
    <t>CC045-M-1655</t>
  </si>
  <si>
    <t>TMT2~127n_sn_scaled</t>
  </si>
  <si>
    <t>CC004-F-5712</t>
  </si>
  <si>
    <t>TMT2~127c_sn_scaled</t>
  </si>
  <si>
    <t>CC055-Npnt&lt;wt&gt;/TauUnc</t>
  </si>
  <si>
    <t>CC055</t>
  </si>
  <si>
    <t>CC055-Npnt&lt;wt&gt;-F-5052</t>
  </si>
  <si>
    <t>TMT2~128n_sn_scaled</t>
  </si>
  <si>
    <t>CC032/GeniUnc</t>
  </si>
  <si>
    <t>CC032</t>
  </si>
  <si>
    <t>CC032-F-2766</t>
  </si>
  <si>
    <t>TMT2~128c_sn_scaled</t>
  </si>
  <si>
    <t>CC012/GeniUnc</t>
  </si>
  <si>
    <t>CC012</t>
  </si>
  <si>
    <t>CC012-F-3128</t>
  </si>
  <si>
    <t>TMT2~129n_sn_scaled</t>
  </si>
  <si>
    <t>CC026/GeniUnc</t>
  </si>
  <si>
    <t>CC026</t>
  </si>
  <si>
    <t>CC026-M-3611</t>
  </si>
  <si>
    <t>TMT2~129c_sn_scaled</t>
  </si>
  <si>
    <t>CC039/Unc</t>
  </si>
  <si>
    <t>CC039</t>
  </si>
  <si>
    <t>CC039-M-4516</t>
  </si>
  <si>
    <t>TMT2~130n_sn_scaled</t>
  </si>
  <si>
    <t>CC078/TauUnc</t>
  </si>
  <si>
    <t>CC078</t>
  </si>
  <si>
    <t>CC078-M-2429</t>
  </si>
  <si>
    <t>TMT2~130c_sn_scaled</t>
  </si>
  <si>
    <t>CC072-F-4388</t>
  </si>
  <si>
    <t>TMT2~131_sn_scaled</t>
  </si>
  <si>
    <t>TMT2~131c_sn_scaled</t>
  </si>
  <si>
    <t>CC017/Unc</t>
  </si>
  <si>
    <t>CC017</t>
  </si>
  <si>
    <t>CC017-F-2451</t>
  </si>
  <si>
    <t>TMT3~126_sn_scaled</t>
  </si>
  <si>
    <t>CC049/TauUnc</t>
  </si>
  <si>
    <t>CC049</t>
  </si>
  <si>
    <t>CC049-F-4726</t>
  </si>
  <si>
    <t>TMT3~127n_sn_scaled</t>
  </si>
  <si>
    <t>CC003/Unc</t>
  </si>
  <si>
    <t>CC003</t>
  </si>
  <si>
    <t>CC003-M-5701</t>
  </si>
  <si>
    <t>TMT3~127c_sn_scaled</t>
  </si>
  <si>
    <t>CC058/Unc</t>
  </si>
  <si>
    <t>CC058</t>
  </si>
  <si>
    <t>CC058-M-1667</t>
  </si>
  <si>
    <t>TMT3~128n_sn_scaled</t>
  </si>
  <si>
    <t>CC071/TauUnc</t>
  </si>
  <si>
    <t>CC071</t>
  </si>
  <si>
    <t>CC071-M-4711</t>
  </si>
  <si>
    <t>TMT3~128c_sn_scaled</t>
  </si>
  <si>
    <t>CC011/Unc</t>
  </si>
  <si>
    <t>CC011</t>
  </si>
  <si>
    <t>CC011-M-4692</t>
  </si>
  <si>
    <t>TMT3~129n_sn_scaled</t>
  </si>
  <si>
    <t>CC078-F-2426</t>
  </si>
  <si>
    <t>TMT3~129c_sn_scaled</t>
  </si>
  <si>
    <t>CC021/Unc</t>
  </si>
  <si>
    <t>CC021</t>
  </si>
  <si>
    <t>CC021-M-2007</t>
  </si>
  <si>
    <t>TMT3~130n_sn_scaled</t>
  </si>
  <si>
    <t>CC062/Unc</t>
  </si>
  <si>
    <t>CC062</t>
  </si>
  <si>
    <t>CC062-F-1285</t>
  </si>
  <si>
    <t>TMT3~130c_sn_scaled</t>
  </si>
  <si>
    <t>CC016/GeniUnc</t>
  </si>
  <si>
    <t>CC016</t>
  </si>
  <si>
    <t>CC016-M-1653</t>
  </si>
  <si>
    <t>TMT3~131_sn_scaled</t>
  </si>
  <si>
    <t>TMT3~131c_sn_scaled</t>
  </si>
  <si>
    <t>CC029/Unc</t>
  </si>
  <si>
    <t>CC029</t>
  </si>
  <si>
    <t>CC029-F-1385</t>
  </si>
  <si>
    <t>TMT4~126_sn_scaled</t>
  </si>
  <si>
    <t>CC012-M-3131</t>
  </si>
  <si>
    <t>TMT4~127n_sn_scaled</t>
  </si>
  <si>
    <t>CC024/GeniUnc</t>
  </si>
  <si>
    <t>CC024</t>
  </si>
  <si>
    <t>CC024-F-2116</t>
  </si>
  <si>
    <t>TMT4~127c_sn_scaled</t>
  </si>
  <si>
    <t>CC080/TauUnc</t>
  </si>
  <si>
    <t>CC080</t>
  </si>
  <si>
    <t>CC080-F-2532</t>
  </si>
  <si>
    <t>TMT4~128n_sn_scaled</t>
  </si>
  <si>
    <t>CC059/TauUnc</t>
  </si>
  <si>
    <t>CC059</t>
  </si>
  <si>
    <t>CC059-F-5958</t>
  </si>
  <si>
    <t>TMT4~128c_sn_scaled</t>
  </si>
  <si>
    <t>CC045-F-1670</t>
  </si>
  <si>
    <t>TMT4~129n_sn_scaled</t>
  </si>
  <si>
    <t>CC049-M-4723</t>
  </si>
  <si>
    <t>TMT4~129c_sn_scaled</t>
  </si>
  <si>
    <t>CC005/TauUnc</t>
  </si>
  <si>
    <t>CC005</t>
  </si>
  <si>
    <t>CC005-F-5798</t>
  </si>
  <si>
    <t>TMT4~130n_sn_scaled</t>
  </si>
  <si>
    <t>CC081/Unc</t>
  </si>
  <si>
    <t>CC081</t>
  </si>
  <si>
    <t>CC081-M-573</t>
  </si>
  <si>
    <t>TMT4~130c_sn_scaled</t>
  </si>
  <si>
    <t>CC015/Unc</t>
  </si>
  <si>
    <t>CC015</t>
  </si>
  <si>
    <t>CC015-F-2645</t>
  </si>
  <si>
    <t>TMT4~131_sn_scaled</t>
  </si>
  <si>
    <t>TMT4~131c_sn_scaled</t>
  </si>
  <si>
    <t>CC046/Unc</t>
  </si>
  <si>
    <t>CC046</t>
  </si>
  <si>
    <t>CC046-F-2218</t>
  </si>
  <si>
    <t>TMT5~126_sn_scaled</t>
  </si>
  <si>
    <t>CC023/GeniUnc</t>
  </si>
  <si>
    <t>CC023</t>
  </si>
  <si>
    <t>CC023-F-1699</t>
  </si>
  <si>
    <t>TMT5~127n_sn_scaled</t>
  </si>
  <si>
    <t>CC015-M-2646</t>
  </si>
  <si>
    <t>TMT5~127c_sn_scaled</t>
  </si>
  <si>
    <t>CC044/Unc</t>
  </si>
  <si>
    <t>CC044</t>
  </si>
  <si>
    <t>CC044-M-2251</t>
  </si>
  <si>
    <t>TMT5~128n_sn_scaled</t>
  </si>
  <si>
    <t>CC082/Unc</t>
  </si>
  <si>
    <t>CC082</t>
  </si>
  <si>
    <t>CC082-M-679</t>
  </si>
  <si>
    <t>TMT5~128c_sn_scaled</t>
  </si>
  <si>
    <t>CC030/GeniUnc</t>
  </si>
  <si>
    <t>CC030</t>
  </si>
  <si>
    <t>NA</t>
  </si>
  <si>
    <t>CC030-F-2248</t>
  </si>
  <si>
    <t>TMT5~129n_sn_scaled</t>
  </si>
  <si>
    <t>CC038/GeniUnc</t>
  </si>
  <si>
    <t>CC038</t>
  </si>
  <si>
    <t>CC038-F-1615</t>
  </si>
  <si>
    <t>TMT5~129c_sn_scaled</t>
  </si>
  <si>
    <t>CC037/TauUnc</t>
  </si>
  <si>
    <t>CC037</t>
  </si>
  <si>
    <t>CC037-F-2350</t>
  </si>
  <si>
    <t>TMT5~130n_sn_scaled</t>
  </si>
  <si>
    <t>CC037-M-2343</t>
  </si>
  <si>
    <t>TMT5~130c_sn_scaled</t>
  </si>
  <si>
    <t>CC060/Unc</t>
  </si>
  <si>
    <t>CC060</t>
  </si>
  <si>
    <t>CC060-F-1754</t>
  </si>
  <si>
    <t>TMT5~131_sn_scaled</t>
  </si>
  <si>
    <t>TMT5~131c_sn_scaled</t>
  </si>
  <si>
    <t>CC039-F-4517</t>
  </si>
  <si>
    <t>TMT6~126_sn_scaled</t>
  </si>
  <si>
    <t>CC031/GeniUnc</t>
  </si>
  <si>
    <t>CC031</t>
  </si>
  <si>
    <t>CC031-M-1216</t>
  </si>
  <si>
    <t>TMT6~127n_sn_scaled</t>
  </si>
  <si>
    <t>CC007/Unc</t>
  </si>
  <si>
    <t>CC007</t>
  </si>
  <si>
    <t>CC007-M-4176</t>
  </si>
  <si>
    <t>TMT6~127c_sn_scaled</t>
  </si>
  <si>
    <t>CC082-F-682</t>
  </si>
  <si>
    <t>TMT6~128n_sn_scaled</t>
  </si>
  <si>
    <t>CC021-F-2001</t>
  </si>
  <si>
    <t>TMT6~128c_sn_scaled</t>
  </si>
  <si>
    <t>CC008/GeniUnc</t>
  </si>
  <si>
    <t>CC008</t>
  </si>
  <si>
    <t>CC008-M-1962</t>
  </si>
  <si>
    <t>TMT6~129n_sn_scaled</t>
  </si>
  <si>
    <t>CC046-M-2236</t>
  </si>
  <si>
    <t>TMT6~129c_sn_scaled</t>
  </si>
  <si>
    <t>CC060-M-1755</t>
  </si>
  <si>
    <t>TMT6~130n_sn_scaled</t>
  </si>
  <si>
    <t>CC025-F-1743</t>
  </si>
  <si>
    <t>TMT6~130c_sn_scaled</t>
  </si>
  <si>
    <t>CC033-F-1380</t>
  </si>
  <si>
    <t>TMT6~131_sn_scaled</t>
  </si>
  <si>
    <t>TMT6~131c_sn_scaled</t>
  </si>
  <si>
    <t>CC016-F-1654</t>
  </si>
  <si>
    <t>TMT7~126_sn_scaled</t>
  </si>
  <si>
    <t>CC062-M-1277</t>
  </si>
  <si>
    <t>TMT7~127n_sn_scaled</t>
  </si>
  <si>
    <t>CC002-F-5748</t>
  </si>
  <si>
    <t>TMT7~127c_sn_scaled</t>
  </si>
  <si>
    <t>CC013-F-2278</t>
  </si>
  <si>
    <t>TMT7~128n_sn_scaled</t>
  </si>
  <si>
    <t>CC079/TauUnc</t>
  </si>
  <si>
    <t>CC079</t>
  </si>
  <si>
    <t>CC079-F-1702</t>
  </si>
  <si>
    <t>TMT7~128c_sn_scaled</t>
  </si>
  <si>
    <t>CC001/Unc</t>
  </si>
  <si>
    <t>CC001</t>
  </si>
  <si>
    <t>CC001-F-5694</t>
  </si>
  <si>
    <t>TMT7~129n_sn_scaled</t>
  </si>
  <si>
    <t>CC008-F-1963</t>
  </si>
  <si>
    <t>TMT7~129c_sn_scaled</t>
  </si>
  <si>
    <t>CC042-F-5706</t>
  </si>
  <si>
    <t>TMT7~130n_sn_scaled</t>
  </si>
  <si>
    <t>CC055-Npnt&lt;wt&gt;-M-5053</t>
  </si>
  <si>
    <t>TMT7~130c_sn_scaled</t>
  </si>
  <si>
    <t>CC027/GeniUnc</t>
  </si>
  <si>
    <t>CC027</t>
  </si>
  <si>
    <t>CC027-M-2793</t>
  </si>
  <si>
    <t>TMT7~131_sn_scaled</t>
  </si>
  <si>
    <t>TMT7~131c_sn_scaled</t>
  </si>
  <si>
    <t>CC059-M-5959</t>
  </si>
  <si>
    <t>TMT8~126_sn_scaled</t>
  </si>
  <si>
    <t>CC044-F-2266</t>
  </si>
  <si>
    <t>TMT8~127n_sn_scaled</t>
  </si>
  <si>
    <t>CC011-F-4703</t>
  </si>
  <si>
    <t>TMT8~127c_sn_scaled</t>
  </si>
  <si>
    <t>CC057-M-1559</t>
  </si>
  <si>
    <t>TMT8~128n_sn_scaled</t>
  </si>
  <si>
    <t>CC038-M-1611</t>
  </si>
  <si>
    <t>TMT8~128c_sn_scaled</t>
  </si>
  <si>
    <t>CC058-F-1669</t>
  </si>
  <si>
    <t>TMT8~129n_sn_scaled</t>
  </si>
  <si>
    <t>TMT8~129c_sn_scaled</t>
  </si>
  <si>
    <t>CC005-M-5799</t>
  </si>
  <si>
    <t>TMT8~130n_sn_scaled</t>
  </si>
  <si>
    <t>CC007-F-4180</t>
  </si>
  <si>
    <t>TMT8~130c_sn_scaled</t>
  </si>
  <si>
    <t>CC079-M-1699</t>
  </si>
  <si>
    <t>TMT8~131_sn_scaled</t>
  </si>
  <si>
    <t>TMT8~131c_sn_scaled</t>
  </si>
  <si>
    <t>CC019/TauUnc</t>
  </si>
  <si>
    <t>CC019</t>
  </si>
  <si>
    <t>CC019-F-9239</t>
  </si>
  <si>
    <t>TMT9~126_sn_scaled</t>
  </si>
  <si>
    <t>CC019-M-9237</t>
  </si>
  <si>
    <t>TMT9~127n_sn_scaled</t>
  </si>
  <si>
    <t>CC017-M-2443</t>
  </si>
  <si>
    <t>TMT9~127c_sn_scaled</t>
  </si>
  <si>
    <t>CC031-F-1229</t>
  </si>
  <si>
    <t>TMT9~128n_sn_scaled</t>
  </si>
  <si>
    <t>CC023-M-1702</t>
  </si>
  <si>
    <t>TMT9~128c_sn_scaled</t>
  </si>
  <si>
    <t>CC071-F-4720</t>
  </si>
  <si>
    <t>TMT9~129n_sn_scaled</t>
  </si>
  <si>
    <t>CC029-M-1381</t>
  </si>
  <si>
    <t>TMT9~129c_sn_scaled</t>
  </si>
  <si>
    <t>CC026-F-3615</t>
  </si>
  <si>
    <t>TMT9~130n_sn_scaled</t>
  </si>
  <si>
    <t>CC043-F-1876</t>
  </si>
  <si>
    <t>TMT9~130c_sn_scaled</t>
  </si>
  <si>
    <t>CC036/Unc</t>
  </si>
  <si>
    <t>CC036</t>
  </si>
  <si>
    <t>CC036-M-1635</t>
  </si>
  <si>
    <t>TMT9~131_sn_scaled</t>
  </si>
  <si>
    <t>TMT9~131c_sn_scaled</t>
  </si>
  <si>
    <t>CC040-M-6177</t>
  </si>
  <si>
    <t>TMT10~126_sn_scaled</t>
  </si>
  <si>
    <t>CC041-M-7067</t>
  </si>
  <si>
    <t>TMT10~127n_sn_scaled</t>
  </si>
  <si>
    <t>CC081-F-586</t>
  </si>
  <si>
    <t>TMT10~127c_sn_scaled</t>
  </si>
  <si>
    <t>CC001-M-5693</t>
  </si>
  <si>
    <t>TMT10~128n_sn_scaled</t>
  </si>
  <si>
    <t>CC080-M-2537</t>
  </si>
  <si>
    <t>TMT10~128c_sn_scaled</t>
  </si>
  <si>
    <t>CC036-F-1665</t>
  </si>
  <si>
    <t>TMT10~129n_sn_scaled</t>
  </si>
  <si>
    <t>CC030-M-2243</t>
  </si>
  <si>
    <t>TMT10~129c_sn_scaled</t>
  </si>
  <si>
    <t>CC027-F-2816</t>
  </si>
  <si>
    <t>TMT10~130n_sn_scaled</t>
  </si>
  <si>
    <t>CC032-M-2764</t>
  </si>
  <si>
    <t>TMT10~130c_sn_scaled</t>
  </si>
  <si>
    <t>CC024-M-2102</t>
  </si>
  <si>
    <t>TMT10~131_sn_scaled</t>
  </si>
  <si>
    <t>TMT10~131c_sn_scaled</t>
  </si>
  <si>
    <t>CC010/GeniUnc-F-4431</t>
  </si>
  <si>
    <t>CC010</t>
  </si>
  <si>
    <t>CC010-F-4431</t>
  </si>
  <si>
    <t>TMT11~126_sn_scaled</t>
  </si>
  <si>
    <t>CC061/GeniUnc-M-2239</t>
  </si>
  <si>
    <t>CC061</t>
  </si>
  <si>
    <t>CC061-M-2239</t>
  </si>
  <si>
    <t>TMT11~127n_sn_scaled</t>
  </si>
  <si>
    <t>CC009/UncJ-F-020</t>
  </si>
  <si>
    <t>CC009</t>
  </si>
  <si>
    <t>CC009-F-020</t>
  </si>
  <si>
    <t>TMT11~127c_sn_scaled</t>
  </si>
  <si>
    <t>CC0051/TauUnc-M-7549</t>
  </si>
  <si>
    <t>CC051</t>
  </si>
  <si>
    <t>CC0051-M-7549</t>
  </si>
  <si>
    <t>TMT11~128n_sn_scaled</t>
  </si>
  <si>
    <t>CC006/TauUnc-F-7160</t>
  </si>
  <si>
    <t>CC006</t>
  </si>
  <si>
    <t>CC006-F-7160</t>
  </si>
  <si>
    <t>TMT11~128c_sn_scaled</t>
  </si>
  <si>
    <t>CC0053/Unc-M-1936</t>
  </si>
  <si>
    <t>CC053</t>
  </si>
  <si>
    <t>CC0053-M-1936</t>
  </si>
  <si>
    <t>TMT11~129n_sn_scaled</t>
  </si>
  <si>
    <t>CC003/Unc-F-5826</t>
  </si>
  <si>
    <t>CC003-F-5826</t>
  </si>
  <si>
    <t>TMT11~129c_sn_scaled</t>
  </si>
  <si>
    <t>CC035/Unc-M-2602</t>
  </si>
  <si>
    <t>CC035</t>
  </si>
  <si>
    <t>CC035-M-2602</t>
  </si>
  <si>
    <t>TMT11~130n_sn_scaled</t>
  </si>
  <si>
    <t>CC075/UncJ-F-22</t>
  </si>
  <si>
    <t>CC075</t>
  </si>
  <si>
    <t>CC075-F-22</t>
  </si>
  <si>
    <t>TMT11~130c_sn_scaled</t>
  </si>
  <si>
    <t>TMT12~131_sn_scaled</t>
  </si>
  <si>
    <t>TMT11~131c_sn_scaled</t>
  </si>
  <si>
    <t>CC009/UncJ-M-019</t>
  </si>
  <si>
    <t>CC009-M-019</t>
  </si>
  <si>
    <t>TMT12~126_sn_scaled</t>
  </si>
  <si>
    <t>CC051/TauUnc-F-7538</t>
  </si>
  <si>
    <t>CC051-F-7538</t>
  </si>
  <si>
    <t>TMT12~127n_sn_scaled</t>
  </si>
  <si>
    <t>CC006/TauUnc-M-7158</t>
  </si>
  <si>
    <t>CC006-M-7158</t>
  </si>
  <si>
    <t>TMT12~127c_sn_scaled</t>
  </si>
  <si>
    <t>CC0061/GeniUnc-F-2255</t>
  </si>
  <si>
    <t>CC0061-F-2255</t>
  </si>
  <si>
    <t>TMT12~128n_sn_scaled</t>
  </si>
  <si>
    <t>CC003/Unc-M-5825</t>
  </si>
  <si>
    <t>CC003-M-5825</t>
  </si>
  <si>
    <t>TMT12~128c_sn_scaled</t>
  </si>
  <si>
    <t>CC035/Unc-F-2596</t>
  </si>
  <si>
    <t>CC035-F-2596</t>
  </si>
  <si>
    <t>TMT12~129n_sn_scaled</t>
  </si>
  <si>
    <t>CC010/GeniUnc-M-4424</t>
  </si>
  <si>
    <t>CC010-M-4424</t>
  </si>
  <si>
    <t>TMT12~129c_sn_scaled</t>
  </si>
  <si>
    <t>CC053/Unc-F-1967</t>
  </si>
  <si>
    <t>CC053-F-1967</t>
  </si>
  <si>
    <t>TMT12~130n_sn_scaled</t>
  </si>
  <si>
    <t>CC075/UncJ-M-24</t>
  </si>
  <si>
    <t>CC075-M-24</t>
  </si>
  <si>
    <t>TMT12~130c_sn_scaled</t>
  </si>
  <si>
    <t>TMT11~131_sn_scaled</t>
  </si>
  <si>
    <t>TMT12~131c_sn_scaled</t>
  </si>
  <si>
    <t>Channel</t>
  </si>
  <si>
    <t>Order</t>
  </si>
  <si>
    <t>TextJoin</t>
  </si>
  <si>
    <t>Labels</t>
  </si>
  <si>
    <t xml:space="preserve">Pool </t>
  </si>
  <si>
    <t>CC04_M</t>
  </si>
  <si>
    <t>CC57_F</t>
  </si>
  <si>
    <t>CC42_M</t>
  </si>
  <si>
    <t>CC13_M</t>
  </si>
  <si>
    <t>CC02_M</t>
  </si>
  <si>
    <t>CC43_M</t>
  </si>
  <si>
    <t>CC41_F</t>
  </si>
  <si>
    <t>CC33_M</t>
  </si>
  <si>
    <t>CC40_F</t>
  </si>
  <si>
    <t>CC72_M</t>
  </si>
  <si>
    <t>CC25_M</t>
  </si>
  <si>
    <t>CC45_M</t>
  </si>
  <si>
    <t>CC04_F</t>
  </si>
  <si>
    <t>CC55_F</t>
  </si>
  <si>
    <t>CC32_F</t>
  </si>
  <si>
    <t>CC12_F</t>
  </si>
  <si>
    <t>CC26_M</t>
  </si>
  <si>
    <t>CC39_M</t>
  </si>
  <si>
    <t>CC78_M</t>
  </si>
  <si>
    <t>CC72_F</t>
  </si>
  <si>
    <t>CC17_F</t>
  </si>
  <si>
    <t>CC49_F</t>
  </si>
  <si>
    <t>CC03_M</t>
  </si>
  <si>
    <t>CC58_M</t>
  </si>
  <si>
    <t>CC71_M</t>
  </si>
  <si>
    <t>CC11_M</t>
  </si>
  <si>
    <t>CC78_F</t>
  </si>
  <si>
    <t>CC21_M</t>
  </si>
  <si>
    <t>CC62_F</t>
  </si>
  <si>
    <t>CC16_M</t>
  </si>
  <si>
    <t>CC29_F</t>
  </si>
  <si>
    <t>CC12_M</t>
  </si>
  <si>
    <t>CC24_F</t>
  </si>
  <si>
    <t>CC80_F</t>
  </si>
  <si>
    <t>CC59_F</t>
  </si>
  <si>
    <t>CC45_F</t>
  </si>
  <si>
    <t>CC49_M</t>
  </si>
  <si>
    <t>CC05_F</t>
  </si>
  <si>
    <t>CC81_M</t>
  </si>
  <si>
    <t>CC15_F</t>
  </si>
  <si>
    <t>CC46_F</t>
  </si>
  <si>
    <t>CC23_F</t>
  </si>
  <si>
    <t>CC15_M</t>
  </si>
  <si>
    <t>CC44_M</t>
  </si>
  <si>
    <t>CC82_M</t>
  </si>
  <si>
    <t>CC30_F</t>
  </si>
  <si>
    <t>CC38_F</t>
  </si>
  <si>
    <t>CC37_F</t>
  </si>
  <si>
    <t>CC37_M</t>
  </si>
  <si>
    <t>CC60_F</t>
  </si>
  <si>
    <t>CC39_F</t>
  </si>
  <si>
    <t>CC31_M</t>
  </si>
  <si>
    <t>CC07_M</t>
  </si>
  <si>
    <t>CC82_F</t>
  </si>
  <si>
    <t>CC21_F</t>
  </si>
  <si>
    <t>CC08_M</t>
  </si>
  <si>
    <t>CC46_M</t>
  </si>
  <si>
    <t>CC60_M</t>
  </si>
  <si>
    <t>CC25_F</t>
  </si>
  <si>
    <t>CC33_F</t>
  </si>
  <si>
    <t>CC16_F</t>
  </si>
  <si>
    <t>CC62_M</t>
  </si>
  <si>
    <t>CC02_F</t>
  </si>
  <si>
    <t>CC13_F</t>
  </si>
  <si>
    <t>CC79_F</t>
  </si>
  <si>
    <t>CC01_F</t>
  </si>
  <si>
    <t>CC08_F</t>
  </si>
  <si>
    <t>CC42_F</t>
  </si>
  <si>
    <t>CC55_M</t>
  </si>
  <si>
    <t>CC27_M</t>
  </si>
  <si>
    <t>CC59_M</t>
  </si>
  <si>
    <t>CC44_F</t>
  </si>
  <si>
    <t>CC11_F</t>
  </si>
  <si>
    <t>CC57_M</t>
  </si>
  <si>
    <t>CC38_M</t>
  </si>
  <si>
    <t>CC58_F</t>
  </si>
  <si>
    <t>CC05_M</t>
  </si>
  <si>
    <t>CC07_F</t>
  </si>
  <si>
    <t>CC79_M</t>
  </si>
  <si>
    <t>CC19_F</t>
  </si>
  <si>
    <t>CC19_M</t>
  </si>
  <si>
    <t>CC17_M</t>
  </si>
  <si>
    <t>CC31_F</t>
  </si>
  <si>
    <t>CC23_M</t>
  </si>
  <si>
    <t>CC71_F</t>
  </si>
  <si>
    <t>CC29_M</t>
  </si>
  <si>
    <t>CC26_F</t>
  </si>
  <si>
    <t>CC43_F</t>
  </si>
  <si>
    <t>CC36_M</t>
  </si>
  <si>
    <t>CC40_M</t>
  </si>
  <si>
    <t>CC41_M</t>
  </si>
  <si>
    <t>CC81_F</t>
  </si>
  <si>
    <t>CC01_M</t>
  </si>
  <si>
    <t>CC80_M</t>
  </si>
  <si>
    <t>CC36_F</t>
  </si>
  <si>
    <t>CC30_M</t>
  </si>
  <si>
    <t>CC27_F</t>
  </si>
  <si>
    <t>CC32_M</t>
  </si>
  <si>
    <t>CC24_M</t>
  </si>
  <si>
    <t>CC10_F</t>
  </si>
  <si>
    <t>CC61_M</t>
  </si>
  <si>
    <t>CC09_F</t>
  </si>
  <si>
    <t>CC51_M</t>
  </si>
  <si>
    <t>CC06_F</t>
  </si>
  <si>
    <t>CC53_M</t>
  </si>
  <si>
    <t>CC03_F</t>
  </si>
  <si>
    <t>CC35_M</t>
  </si>
  <si>
    <t>CC75_F</t>
  </si>
  <si>
    <t>CC09_M</t>
  </si>
  <si>
    <t>CC51_F</t>
  </si>
  <si>
    <t>CC06_M</t>
  </si>
  <si>
    <t>CC61_F</t>
  </si>
  <si>
    <t>CC35_F</t>
  </si>
  <si>
    <t>CC10_M</t>
  </si>
  <si>
    <t>CC53_F</t>
  </si>
  <si>
    <t>CC75_M</t>
  </si>
  <si>
    <t>Charge</t>
  </si>
  <si>
    <t>Acquired</t>
  </si>
  <si>
    <t>Identified</t>
  </si>
  <si>
    <t>Z Dist</t>
  </si>
  <si>
    <t>ID Rate</t>
  </si>
  <si>
    <t>all</t>
  </si>
  <si>
    <t>2+</t>
  </si>
  <si>
    <t>3+</t>
  </si>
  <si>
    <t>4+</t>
  </si>
  <si>
    <t>5+</t>
  </si>
  <si>
    <t>PXD018886: Gygi Lab, mouse livers, 2021</t>
  </si>
  <si>
    <t>LC Run</t>
  </si>
  <si>
    <t>a11138_20180928102805_TMT1_1</t>
  </si>
  <si>
    <t>a11139_20180928132037_TMT1_2</t>
  </si>
  <si>
    <t>a11140_20180928161309_TMT1_3</t>
  </si>
  <si>
    <t>a11141_TMT1_4</t>
  </si>
  <si>
    <t>a11142_TMT1_5</t>
  </si>
  <si>
    <t>a11143_TMT1_6</t>
  </si>
  <si>
    <t>a11144_TMT1_7</t>
  </si>
  <si>
    <t>a11145_TMT1_8</t>
  </si>
  <si>
    <t>a11146_TMT1_9</t>
  </si>
  <si>
    <t>a11147_TMT1_10</t>
  </si>
  <si>
    <t>a11148_TMT1_11</t>
  </si>
  <si>
    <t>a11149_TMT1_12</t>
  </si>
  <si>
    <t>a11255_TMT10_1</t>
  </si>
  <si>
    <t>a11256_TMT10_2</t>
  </si>
  <si>
    <t>a11257_TMT10_3</t>
  </si>
  <si>
    <t>a11258_TMT10_4</t>
  </si>
  <si>
    <t>a11259_TMT10_5</t>
  </si>
  <si>
    <t>a11260_TMT10_6</t>
  </si>
  <si>
    <t>a11261_TMT10_7</t>
  </si>
  <si>
    <t>a11262_TMT10_8</t>
  </si>
  <si>
    <t>a11263_TMT10_9</t>
  </si>
  <si>
    <t>a11264_TMT10_10</t>
  </si>
  <si>
    <t>a11265_TMT10_11</t>
  </si>
  <si>
    <t>a11266_TMT10_12</t>
  </si>
  <si>
    <t>a13368_TMT11_1</t>
  </si>
  <si>
    <t>a13369_TMT11_2</t>
  </si>
  <si>
    <t>a13370_20190416084014_TMT11_3</t>
  </si>
  <si>
    <t>a13371_TMT11_4</t>
  </si>
  <si>
    <t>a13372_TMT11_5</t>
  </si>
  <si>
    <t>a13373_TMT11_6</t>
  </si>
  <si>
    <t>a13374_TMT11_7</t>
  </si>
  <si>
    <t>a13375_TMT11_8</t>
  </si>
  <si>
    <t>a13376_TMT11_9</t>
  </si>
  <si>
    <t>a13377_TMT11_10</t>
  </si>
  <si>
    <t>a13378_TMT11_11</t>
  </si>
  <si>
    <t>a13379_TMT11_12</t>
  </si>
  <si>
    <t>a13389_TMT12_1</t>
  </si>
  <si>
    <t>a13390_TMT12_2</t>
  </si>
  <si>
    <t>a13388_TMT12_3</t>
  </si>
  <si>
    <t>a13387_TMT12_4</t>
  </si>
  <si>
    <t>a13386_TMT12_5</t>
  </si>
  <si>
    <t>a13385_TMT12_6</t>
  </si>
  <si>
    <t>a13384_TMT12_7</t>
  </si>
  <si>
    <t>a13383_TMT12_8</t>
  </si>
  <si>
    <t>a13382_TMT12_9</t>
  </si>
  <si>
    <t>a13381_TMT12_10</t>
  </si>
  <si>
    <t>a13392_TMT12_11</t>
  </si>
  <si>
    <t>a13391_TMT12_12</t>
  </si>
  <si>
    <t>a11151_TMT2_1</t>
  </si>
  <si>
    <t>a11152_TMT2_2</t>
  </si>
  <si>
    <t>a11153_TMT2_3</t>
  </si>
  <si>
    <t>a11154_TMT2_4</t>
  </si>
  <si>
    <t>a11155_TMT2_5</t>
  </si>
  <si>
    <t>a11156_TMT2_6</t>
  </si>
  <si>
    <t>a11157_TMT2_7</t>
  </si>
  <si>
    <t>a11158_TMT2_8</t>
  </si>
  <si>
    <t>a11159_TMT2_9</t>
  </si>
  <si>
    <t>a11160_TMT2_10</t>
  </si>
  <si>
    <t>a11161_TMT2_11</t>
  </si>
  <si>
    <t>a11162_TMT2_12</t>
  </si>
  <si>
    <t>a11281_TMT3_1</t>
  </si>
  <si>
    <t>a11165_TMT3_2</t>
  </si>
  <si>
    <t>a11166_TMT3_3</t>
  </si>
  <si>
    <t>a11167_TMT3_4</t>
  </si>
  <si>
    <t>a11282_TMT3_5</t>
  </si>
  <si>
    <t>a11283_TMT3_6</t>
  </si>
  <si>
    <t>a11284_TMT3_7</t>
  </si>
  <si>
    <t>a11285_TMT3_8</t>
  </si>
  <si>
    <t>a11172_TMT3_9</t>
  </si>
  <si>
    <t>a11286_TMT3_10</t>
  </si>
  <si>
    <t>a11174_TMT3_11</t>
  </si>
  <si>
    <t>a11287_TMT3_12</t>
  </si>
  <si>
    <t>a11177_TMT4_1</t>
  </si>
  <si>
    <t>a11289_TMT4_2</t>
  </si>
  <si>
    <t>a11179_TMT4_3</t>
  </si>
  <si>
    <t>a11290_TMT4_4</t>
  </si>
  <si>
    <t>a11181_TMT4_5</t>
  </si>
  <si>
    <t>a11182_TMT4_6</t>
  </si>
  <si>
    <t>a11291_TMT4_7</t>
  </si>
  <si>
    <t>a11292_TMT4_8</t>
  </si>
  <si>
    <t>a11293_TMT4_9</t>
  </si>
  <si>
    <t>a11294_TMT4_10</t>
  </si>
  <si>
    <t>a11295_TMT4_11</t>
  </si>
  <si>
    <t>a11296_TMT4_12</t>
  </si>
  <si>
    <t>a11268_TMT5_1</t>
  </si>
  <si>
    <t>a11269_TMT5_2</t>
  </si>
  <si>
    <t>a11270_TMT5_3</t>
  </si>
  <si>
    <t>a11271_TMT5_4</t>
  </si>
  <si>
    <t>a11272_TMT5_5</t>
  </si>
  <si>
    <t>a11273_TMT5_6</t>
  </si>
  <si>
    <t>a11274_TMT5_7</t>
  </si>
  <si>
    <t>a11275_TMT5_8</t>
  </si>
  <si>
    <t>a11276_TMT5_9</t>
  </si>
  <si>
    <t>a11277_TMT5_10</t>
  </si>
  <si>
    <t>a11278_TMT5_11</t>
  </si>
  <si>
    <t>a11279_20181013093707_TMT5_12</t>
  </si>
  <si>
    <t>a11203_TMT6_1</t>
  </si>
  <si>
    <t>a11204_TMT6_2</t>
  </si>
  <si>
    <t>a11205_TMT6_3</t>
  </si>
  <si>
    <t>a11206_TMT6_4</t>
  </si>
  <si>
    <t>a11207_TMT6_5</t>
  </si>
  <si>
    <t>a11208_TMT6_6</t>
  </si>
  <si>
    <t>a11209_TMT6_7</t>
  </si>
  <si>
    <t>a11210_TMT6_8</t>
  </si>
  <si>
    <t>a11211_TMT6_9</t>
  </si>
  <si>
    <t>a11212_TMT6_10</t>
  </si>
  <si>
    <t>a11213_TMT6_11</t>
  </si>
  <si>
    <t>a11214_TMT6_12</t>
  </si>
  <si>
    <t>a11216_TMT7_1</t>
  </si>
  <si>
    <t>a11217_TMT7_2</t>
  </si>
  <si>
    <t>a11218_TMT7_3</t>
  </si>
  <si>
    <t>a11219_TMT7_4</t>
  </si>
  <si>
    <t>a11220_TMT7_5</t>
  </si>
  <si>
    <t>a11221_TMT7_6</t>
  </si>
  <si>
    <t>a11222_TMT7_7</t>
  </si>
  <si>
    <t>a11223_TMT7_8</t>
  </si>
  <si>
    <t>a11224_TMT7_9</t>
  </si>
  <si>
    <t>a11225_TMT7_10</t>
  </si>
  <si>
    <t>a11226_TMT7_11</t>
  </si>
  <si>
    <t>a11227_TMT7_12</t>
  </si>
  <si>
    <t>a11229_TMT8_1</t>
  </si>
  <si>
    <t>a11230_TMT8_2</t>
  </si>
  <si>
    <t>a11231_TMT8_3</t>
  </si>
  <si>
    <t>a11232_TMT8_4</t>
  </si>
  <si>
    <t>a11233_TMT8_5</t>
  </si>
  <si>
    <t>a11234_TMT8_6</t>
  </si>
  <si>
    <t>a11235_TMT8_7</t>
  </si>
  <si>
    <t>a11236_TMT8_8</t>
  </si>
  <si>
    <t>a11237_TMT8_9</t>
  </si>
  <si>
    <t>a11238_TMT8_10</t>
  </si>
  <si>
    <t>a11239_TMT8_11</t>
  </si>
  <si>
    <t>a11240_TMT8_12</t>
  </si>
  <si>
    <t>a11242_TMT9_1</t>
  </si>
  <si>
    <t>a11243_TMT9_2</t>
  </si>
  <si>
    <t>a11244_TMT9_3</t>
  </si>
  <si>
    <t>a11245_TMT9_4</t>
  </si>
  <si>
    <t>a11246_TMT9_5</t>
  </si>
  <si>
    <t>a11247_TMT9_6</t>
  </si>
  <si>
    <t>a11248_TMT9_7</t>
  </si>
  <si>
    <t>a11249_TMT9_8</t>
  </si>
  <si>
    <t>a11250_TMT9_9</t>
  </si>
  <si>
    <t>a11251_TMT9_10</t>
  </si>
  <si>
    <t>a11252_TMT9_11</t>
  </si>
  <si>
    <t>a11253_TMT9_12</t>
  </si>
  <si>
    <t>Plex</t>
  </si>
  <si>
    <t>Fraction</t>
  </si>
  <si>
    <t>Proteins</t>
  </si>
  <si>
    <t>Proteins IDs (union)</t>
  </si>
  <si>
    <t>Quantifiable proteins</t>
  </si>
  <si>
    <t>Total Intensity</t>
  </si>
  <si>
    <t>Quant Intensity</t>
  </si>
  <si>
    <t>Average</t>
  </si>
  <si>
    <t>Std Dev</t>
  </si>
  <si>
    <t>Percent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</si>
</sst>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8" fillId="0" borderId="0" xfId="0" applyFont="1"/>
    <xf numFmtId="0" fontId="0" fillId="33" borderId="0" xfId="0" applyFill="1"/>
    <xf numFmtId="3" fontId="0" fillId="33" borderId="0" xfId="0" applyNumberFormat="1" applyFill="1"/>
    <xf numFmtId="164" fontId="0" fillId="33" borderId="0" xfId="0" applyNumberFormat="1" applyFill="1"/>
    <xf numFmtId="3" fontId="0" fillId="34" borderId="0" xfId="0" applyNumberFormat="1" applyFill="1"/>
    <xf numFmtId="10" fontId="0" fillId="0" borderId="0" xfId="0" applyNumberFormat="1"/>
    <xf numFmtId="3" fontId="0" fillId="0" borderId="10" xfId="0" applyNumberFormat="1" applyBorder="1"/>
    <xf numFmtId="164" fontId="0" fillId="0" borderId="10" xfId="0" applyNumberFormat="1" applyBorder="1"/>
    <xf numFmtId="3" fontId="0" fillId="33" borderId="10" xfId="0" applyNumberFormat="1" applyFill="1" applyBorder="1"/>
    <xf numFmtId="10" fontId="0" fillId="0" borderId="10" xfId="0" applyNumberForma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A620-5D47-9549-B6B9-464FABD17517}">
  <dimension ref="A3:K146"/>
  <sheetViews>
    <sheetView topLeftCell="A111" workbookViewId="0">
      <selection activeCell="F154" sqref="F154"/>
    </sheetView>
  </sheetViews>
  <sheetFormatPr baseColWidth="10" defaultRowHeight="16" x14ac:dyDescent="0.2"/>
  <cols>
    <col min="2" max="2" width="22.5" bestFit="1" customWidth="1"/>
    <col min="3" max="3" width="10.33203125" bestFit="1" customWidth="1"/>
    <col min="6" max="6" width="22.6640625" bestFit="1" customWidth="1"/>
    <col min="9" max="9" width="20.33203125" bestFit="1" customWidth="1"/>
  </cols>
  <sheetData>
    <row r="3" spans="1:11" x14ac:dyDescent="0.2">
      <c r="A3" t="s">
        <v>387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386</v>
      </c>
      <c r="J3" t="s">
        <v>388</v>
      </c>
      <c r="K3" t="s">
        <v>389</v>
      </c>
    </row>
    <row r="4" spans="1:11" x14ac:dyDescent="0.2">
      <c r="A4">
        <v>1</v>
      </c>
      <c r="B4" t="s">
        <v>7</v>
      </c>
      <c r="C4" t="s">
        <v>8</v>
      </c>
      <c r="D4" s="1">
        <v>43248</v>
      </c>
      <c r="E4" t="s">
        <v>9</v>
      </c>
      <c r="F4" t="s">
        <v>10</v>
      </c>
      <c r="G4">
        <v>1</v>
      </c>
      <c r="H4">
        <v>1</v>
      </c>
      <c r="I4" t="s">
        <v>11</v>
      </c>
      <c r="J4" t="str">
        <f>_xlfn.TEXTJOIN("_", FALSE, C4,E4)</f>
        <v>CC004_M</v>
      </c>
      <c r="K4" t="s">
        <v>391</v>
      </c>
    </row>
    <row r="5" spans="1:11" x14ac:dyDescent="0.2">
      <c r="A5">
        <v>2</v>
      </c>
      <c r="B5" t="s">
        <v>12</v>
      </c>
      <c r="C5" t="s">
        <v>13</v>
      </c>
      <c r="D5" s="1">
        <v>43241</v>
      </c>
      <c r="E5" t="s">
        <v>14</v>
      </c>
      <c r="F5" t="s">
        <v>15</v>
      </c>
      <c r="G5">
        <v>2</v>
      </c>
      <c r="H5">
        <v>1</v>
      </c>
      <c r="I5" t="s">
        <v>16</v>
      </c>
      <c r="J5" t="str">
        <f t="shared" ref="J5:J73" si="0">_xlfn.TEXTJOIN("_", FALSE, C5,E5)</f>
        <v>CC057_F</v>
      </c>
      <c r="K5" t="s">
        <v>392</v>
      </c>
    </row>
    <row r="6" spans="1:11" x14ac:dyDescent="0.2">
      <c r="A6">
        <v>3</v>
      </c>
      <c r="B6" t="s">
        <v>17</v>
      </c>
      <c r="C6" t="s">
        <v>18</v>
      </c>
      <c r="D6" s="1">
        <v>43244</v>
      </c>
      <c r="E6" t="s">
        <v>9</v>
      </c>
      <c r="F6" t="s">
        <v>19</v>
      </c>
      <c r="G6">
        <v>3</v>
      </c>
      <c r="H6">
        <v>1</v>
      </c>
      <c r="I6" t="s">
        <v>20</v>
      </c>
      <c r="J6" t="str">
        <f t="shared" si="0"/>
        <v>CC042_M</v>
      </c>
      <c r="K6" t="s">
        <v>393</v>
      </c>
    </row>
    <row r="7" spans="1:11" x14ac:dyDescent="0.2">
      <c r="A7">
        <v>4</v>
      </c>
      <c r="B7" t="s">
        <v>21</v>
      </c>
      <c r="C7" t="s">
        <v>22</v>
      </c>
      <c r="D7" s="1">
        <v>43240</v>
      </c>
      <c r="E7" t="s">
        <v>9</v>
      </c>
      <c r="F7" t="s">
        <v>23</v>
      </c>
      <c r="G7">
        <v>4</v>
      </c>
      <c r="H7">
        <v>1</v>
      </c>
      <c r="I7" t="s">
        <v>24</v>
      </c>
      <c r="J7" t="str">
        <f t="shared" si="0"/>
        <v>CC013_M</v>
      </c>
      <c r="K7" t="s">
        <v>394</v>
      </c>
    </row>
    <row r="8" spans="1:11" x14ac:dyDescent="0.2">
      <c r="A8">
        <v>5</v>
      </c>
      <c r="B8" t="s">
        <v>25</v>
      </c>
      <c r="C8" t="s">
        <v>26</v>
      </c>
      <c r="D8" s="1">
        <v>43254</v>
      </c>
      <c r="E8" t="s">
        <v>9</v>
      </c>
      <c r="F8" t="s">
        <v>27</v>
      </c>
      <c r="G8">
        <v>5</v>
      </c>
      <c r="H8">
        <v>1</v>
      </c>
      <c r="I8" t="s">
        <v>28</v>
      </c>
      <c r="J8" t="str">
        <f t="shared" si="0"/>
        <v>CC002_M</v>
      </c>
      <c r="K8" t="s">
        <v>395</v>
      </c>
    </row>
    <row r="9" spans="1:11" x14ac:dyDescent="0.2">
      <c r="A9">
        <v>6</v>
      </c>
      <c r="B9" t="s">
        <v>29</v>
      </c>
      <c r="C9" t="s">
        <v>30</v>
      </c>
      <c r="D9" s="1">
        <v>43243</v>
      </c>
      <c r="E9" t="s">
        <v>9</v>
      </c>
      <c r="F9" t="s">
        <v>31</v>
      </c>
      <c r="G9">
        <v>6</v>
      </c>
      <c r="H9">
        <v>1</v>
      </c>
      <c r="I9" t="s">
        <v>32</v>
      </c>
      <c r="J9" t="str">
        <f t="shared" si="0"/>
        <v>CC043_M</v>
      </c>
      <c r="K9" t="s">
        <v>396</v>
      </c>
    </row>
    <row r="10" spans="1:11" x14ac:dyDescent="0.2">
      <c r="A10">
        <v>7</v>
      </c>
      <c r="B10" t="s">
        <v>33</v>
      </c>
      <c r="C10" t="s">
        <v>34</v>
      </c>
      <c r="D10" s="1">
        <v>43246</v>
      </c>
      <c r="E10" t="s">
        <v>14</v>
      </c>
      <c r="F10" t="s">
        <v>35</v>
      </c>
      <c r="G10">
        <v>7</v>
      </c>
      <c r="H10">
        <v>1</v>
      </c>
      <c r="I10" t="s">
        <v>36</v>
      </c>
      <c r="J10" t="str">
        <f t="shared" si="0"/>
        <v>CC041_F</v>
      </c>
      <c r="K10" t="s">
        <v>397</v>
      </c>
    </row>
    <row r="11" spans="1:11" x14ac:dyDescent="0.2">
      <c r="A11">
        <v>8</v>
      </c>
      <c r="B11" t="s">
        <v>37</v>
      </c>
      <c r="C11" t="s">
        <v>38</v>
      </c>
      <c r="D11" s="1">
        <v>43233</v>
      </c>
      <c r="E11" t="s">
        <v>9</v>
      </c>
      <c r="F11" t="s">
        <v>39</v>
      </c>
      <c r="G11">
        <v>8</v>
      </c>
      <c r="H11">
        <v>1</v>
      </c>
      <c r="I11" t="s">
        <v>40</v>
      </c>
      <c r="J11" t="str">
        <f t="shared" si="0"/>
        <v>CC033_M</v>
      </c>
      <c r="K11" t="s">
        <v>398</v>
      </c>
    </row>
    <row r="12" spans="1:11" x14ac:dyDescent="0.2">
      <c r="A12">
        <v>9</v>
      </c>
      <c r="B12" t="s">
        <v>41</v>
      </c>
      <c r="C12" t="s">
        <v>42</v>
      </c>
      <c r="D12" s="1">
        <v>43260</v>
      </c>
      <c r="E12" t="s">
        <v>14</v>
      </c>
      <c r="F12" t="s">
        <v>43</v>
      </c>
      <c r="G12">
        <v>9</v>
      </c>
      <c r="H12">
        <v>1</v>
      </c>
      <c r="I12" t="s">
        <v>44</v>
      </c>
      <c r="J12" t="str">
        <f t="shared" si="0"/>
        <v>CC040_F</v>
      </c>
      <c r="K12" t="s">
        <v>399</v>
      </c>
    </row>
    <row r="13" spans="1:11" x14ac:dyDescent="0.2">
      <c r="A13">
        <v>10</v>
      </c>
      <c r="B13" t="s">
        <v>45</v>
      </c>
      <c r="C13" t="s">
        <v>46</v>
      </c>
      <c r="D13" s="1">
        <v>43248</v>
      </c>
      <c r="E13" t="s">
        <v>9</v>
      </c>
      <c r="F13" t="s">
        <v>47</v>
      </c>
      <c r="G13">
        <v>10</v>
      </c>
      <c r="H13">
        <v>1</v>
      </c>
      <c r="I13" t="s">
        <v>48</v>
      </c>
      <c r="J13" t="str">
        <f t="shared" si="0"/>
        <v>CC072_M</v>
      </c>
      <c r="K13" t="s">
        <v>400</v>
      </c>
    </row>
    <row r="14" spans="1:11" x14ac:dyDescent="0.2"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>
        <v>11</v>
      </c>
      <c r="H14">
        <v>1</v>
      </c>
      <c r="I14" t="s">
        <v>50</v>
      </c>
      <c r="J14" t="str">
        <f t="shared" si="0"/>
        <v xml:space="preserve">Bridge _Bridge </v>
      </c>
      <c r="K14" t="s">
        <v>390</v>
      </c>
    </row>
    <row r="16" spans="1:11" x14ac:dyDescent="0.2">
      <c r="A16">
        <v>11</v>
      </c>
      <c r="B16" t="s">
        <v>51</v>
      </c>
      <c r="C16" t="s">
        <v>52</v>
      </c>
      <c r="D16" s="1">
        <v>43261</v>
      </c>
      <c r="E16" t="s">
        <v>9</v>
      </c>
      <c r="F16" t="s">
        <v>53</v>
      </c>
      <c r="G16">
        <v>1</v>
      </c>
      <c r="H16">
        <v>2</v>
      </c>
      <c r="I16" t="s">
        <v>54</v>
      </c>
      <c r="J16" t="str">
        <f t="shared" si="0"/>
        <v>CC025_M</v>
      </c>
      <c r="K16" t="s">
        <v>401</v>
      </c>
    </row>
    <row r="17" spans="1:11" x14ac:dyDescent="0.2">
      <c r="A17">
        <v>12</v>
      </c>
      <c r="B17" t="s">
        <v>55</v>
      </c>
      <c r="C17" t="s">
        <v>56</v>
      </c>
      <c r="D17" s="1">
        <v>43241</v>
      </c>
      <c r="E17" t="s">
        <v>9</v>
      </c>
      <c r="F17" t="s">
        <v>57</v>
      </c>
      <c r="G17">
        <v>2</v>
      </c>
      <c r="H17">
        <v>2</v>
      </c>
      <c r="I17" t="s">
        <v>58</v>
      </c>
      <c r="J17" t="str">
        <f t="shared" si="0"/>
        <v>CC045_M</v>
      </c>
      <c r="K17" t="s">
        <v>402</v>
      </c>
    </row>
    <row r="18" spans="1:11" x14ac:dyDescent="0.2">
      <c r="A18">
        <v>13</v>
      </c>
      <c r="B18" t="s">
        <v>7</v>
      </c>
      <c r="C18" t="s">
        <v>8</v>
      </c>
      <c r="D18" s="1">
        <v>43248</v>
      </c>
      <c r="E18" t="s">
        <v>14</v>
      </c>
      <c r="F18" t="s">
        <v>59</v>
      </c>
      <c r="G18">
        <v>3</v>
      </c>
      <c r="H18">
        <v>2</v>
      </c>
      <c r="I18" t="s">
        <v>60</v>
      </c>
      <c r="J18" t="str">
        <f t="shared" si="0"/>
        <v>CC004_F</v>
      </c>
      <c r="K18" t="s">
        <v>403</v>
      </c>
    </row>
    <row r="19" spans="1:11" x14ac:dyDescent="0.2">
      <c r="A19">
        <v>14</v>
      </c>
      <c r="B19" t="s">
        <v>61</v>
      </c>
      <c r="C19" t="s">
        <v>62</v>
      </c>
      <c r="D19" s="1">
        <v>43245</v>
      </c>
      <c r="E19" t="s">
        <v>14</v>
      </c>
      <c r="F19" t="s">
        <v>63</v>
      </c>
      <c r="G19">
        <v>4</v>
      </c>
      <c r="H19">
        <v>2</v>
      </c>
      <c r="I19" t="s">
        <v>64</v>
      </c>
      <c r="J19" t="str">
        <f t="shared" si="0"/>
        <v>CC055_F</v>
      </c>
      <c r="K19" t="s">
        <v>404</v>
      </c>
    </row>
    <row r="20" spans="1:11" x14ac:dyDescent="0.2">
      <c r="A20">
        <v>15</v>
      </c>
      <c r="B20" t="s">
        <v>65</v>
      </c>
      <c r="C20" t="s">
        <v>66</v>
      </c>
      <c r="D20" s="1">
        <v>43243</v>
      </c>
      <c r="E20" t="s">
        <v>14</v>
      </c>
      <c r="F20" t="s">
        <v>67</v>
      </c>
      <c r="G20">
        <v>5</v>
      </c>
      <c r="H20">
        <v>2</v>
      </c>
      <c r="I20" t="s">
        <v>68</v>
      </c>
      <c r="J20" t="str">
        <f t="shared" si="0"/>
        <v>CC032_F</v>
      </c>
      <c r="K20" t="s">
        <v>405</v>
      </c>
    </row>
    <row r="21" spans="1:11" x14ac:dyDescent="0.2">
      <c r="A21">
        <v>95</v>
      </c>
      <c r="B21" t="s">
        <v>69</v>
      </c>
      <c r="C21" t="s">
        <v>70</v>
      </c>
      <c r="D21" s="1">
        <v>43241</v>
      </c>
      <c r="E21" t="s">
        <v>14</v>
      </c>
      <c r="F21" t="s">
        <v>71</v>
      </c>
      <c r="G21">
        <v>6</v>
      </c>
      <c r="H21">
        <v>2</v>
      </c>
      <c r="I21" t="s">
        <v>72</v>
      </c>
      <c r="J21" t="str">
        <f t="shared" si="0"/>
        <v>CC012_F</v>
      </c>
      <c r="K21" t="s">
        <v>406</v>
      </c>
    </row>
    <row r="22" spans="1:11" x14ac:dyDescent="0.2">
      <c r="A22">
        <v>17</v>
      </c>
      <c r="B22" t="s">
        <v>73</v>
      </c>
      <c r="C22" t="s">
        <v>74</v>
      </c>
      <c r="D22" s="1">
        <v>43247</v>
      </c>
      <c r="E22" t="s">
        <v>9</v>
      </c>
      <c r="F22" t="s">
        <v>75</v>
      </c>
      <c r="G22">
        <v>7</v>
      </c>
      <c r="H22">
        <v>2</v>
      </c>
      <c r="I22" t="s">
        <v>76</v>
      </c>
      <c r="J22" t="str">
        <f t="shared" si="0"/>
        <v>CC026_M</v>
      </c>
      <c r="K22" t="s">
        <v>407</v>
      </c>
    </row>
    <row r="23" spans="1:11" x14ac:dyDescent="0.2">
      <c r="A23">
        <v>18</v>
      </c>
      <c r="B23" t="s">
        <v>77</v>
      </c>
      <c r="C23" t="s">
        <v>78</v>
      </c>
      <c r="D23" s="1">
        <v>43244</v>
      </c>
      <c r="E23" t="s">
        <v>9</v>
      </c>
      <c r="F23" t="s">
        <v>79</v>
      </c>
      <c r="G23">
        <v>8</v>
      </c>
      <c r="H23">
        <v>2</v>
      </c>
      <c r="I23" t="s">
        <v>80</v>
      </c>
      <c r="J23" t="str">
        <f t="shared" si="0"/>
        <v>CC039_M</v>
      </c>
      <c r="K23" t="s">
        <v>408</v>
      </c>
    </row>
    <row r="24" spans="1:11" x14ac:dyDescent="0.2">
      <c r="A24">
        <v>19</v>
      </c>
      <c r="B24" t="s">
        <v>81</v>
      </c>
      <c r="C24" t="s">
        <v>82</v>
      </c>
      <c r="D24" s="1">
        <v>43264</v>
      </c>
      <c r="E24" t="s">
        <v>9</v>
      </c>
      <c r="F24" t="s">
        <v>83</v>
      </c>
      <c r="G24">
        <v>9</v>
      </c>
      <c r="H24">
        <v>2</v>
      </c>
      <c r="I24" t="s">
        <v>84</v>
      </c>
      <c r="J24" t="str">
        <f t="shared" si="0"/>
        <v>CC078_M</v>
      </c>
      <c r="K24" t="s">
        <v>409</v>
      </c>
    </row>
    <row r="25" spans="1:11" x14ac:dyDescent="0.2">
      <c r="A25">
        <v>20</v>
      </c>
      <c r="B25" t="s">
        <v>45</v>
      </c>
      <c r="C25" t="s">
        <v>46</v>
      </c>
      <c r="D25" s="1">
        <v>43248</v>
      </c>
      <c r="E25" t="s">
        <v>14</v>
      </c>
      <c r="F25" t="s">
        <v>85</v>
      </c>
      <c r="G25">
        <v>10</v>
      </c>
      <c r="H25">
        <v>2</v>
      </c>
      <c r="I25" t="s">
        <v>86</v>
      </c>
      <c r="J25" t="str">
        <f t="shared" si="0"/>
        <v>CC072_F</v>
      </c>
      <c r="K25" t="s">
        <v>410</v>
      </c>
    </row>
    <row r="26" spans="1:11" x14ac:dyDescent="0.2">
      <c r="B26" t="s">
        <v>49</v>
      </c>
      <c r="C26" t="s">
        <v>49</v>
      </c>
      <c r="D26" t="s">
        <v>49</v>
      </c>
      <c r="E26" t="s">
        <v>49</v>
      </c>
      <c r="F26" t="s">
        <v>49</v>
      </c>
      <c r="G26">
        <v>11</v>
      </c>
      <c r="H26">
        <v>2</v>
      </c>
      <c r="I26" t="s">
        <v>87</v>
      </c>
      <c r="J26" t="str">
        <f t="shared" si="0"/>
        <v xml:space="preserve">Bridge _Bridge </v>
      </c>
      <c r="K26" t="s">
        <v>390</v>
      </c>
    </row>
    <row r="28" spans="1:11" x14ac:dyDescent="0.2">
      <c r="A28">
        <v>21</v>
      </c>
      <c r="B28" t="s">
        <v>88</v>
      </c>
      <c r="C28" t="s">
        <v>89</v>
      </c>
      <c r="D28" s="1">
        <v>43246</v>
      </c>
      <c r="E28" t="s">
        <v>14</v>
      </c>
      <c r="F28" t="s">
        <v>90</v>
      </c>
      <c r="G28">
        <v>1</v>
      </c>
      <c r="H28">
        <v>3</v>
      </c>
      <c r="I28" t="s">
        <v>91</v>
      </c>
      <c r="J28" t="str">
        <f t="shared" si="0"/>
        <v>CC017_F</v>
      </c>
      <c r="K28" t="s">
        <v>411</v>
      </c>
    </row>
    <row r="29" spans="1:11" x14ac:dyDescent="0.2">
      <c r="A29">
        <v>22</v>
      </c>
      <c r="B29" t="s">
        <v>92</v>
      </c>
      <c r="C29" t="s">
        <v>93</v>
      </c>
      <c r="D29" s="1">
        <v>43253</v>
      </c>
      <c r="E29" t="s">
        <v>14</v>
      </c>
      <c r="F29" t="s">
        <v>94</v>
      </c>
      <c r="G29">
        <v>2</v>
      </c>
      <c r="H29">
        <v>3</v>
      </c>
      <c r="I29" t="s">
        <v>95</v>
      </c>
      <c r="J29" t="str">
        <f t="shared" si="0"/>
        <v>CC049_F</v>
      </c>
      <c r="K29" t="s">
        <v>412</v>
      </c>
    </row>
    <row r="30" spans="1:11" x14ac:dyDescent="0.2">
      <c r="A30">
        <v>23</v>
      </c>
      <c r="B30" t="s">
        <v>96</v>
      </c>
      <c r="C30" t="s">
        <v>97</v>
      </c>
      <c r="D30" s="1">
        <v>43246</v>
      </c>
      <c r="E30" t="s">
        <v>9</v>
      </c>
      <c r="F30" t="s">
        <v>98</v>
      </c>
      <c r="G30">
        <v>3</v>
      </c>
      <c r="H30">
        <v>3</v>
      </c>
      <c r="I30" t="s">
        <v>99</v>
      </c>
      <c r="J30" t="str">
        <f t="shared" si="0"/>
        <v>CC003_M</v>
      </c>
      <c r="K30" t="s">
        <v>413</v>
      </c>
    </row>
    <row r="31" spans="1:11" x14ac:dyDescent="0.2">
      <c r="A31">
        <v>24</v>
      </c>
      <c r="B31" t="s">
        <v>100</v>
      </c>
      <c r="C31" t="s">
        <v>101</v>
      </c>
      <c r="D31" s="1">
        <v>43242</v>
      </c>
      <c r="E31" t="s">
        <v>9</v>
      </c>
      <c r="F31" t="s">
        <v>102</v>
      </c>
      <c r="G31">
        <v>4</v>
      </c>
      <c r="H31">
        <v>3</v>
      </c>
      <c r="I31" t="s">
        <v>103</v>
      </c>
      <c r="J31" t="str">
        <f t="shared" si="0"/>
        <v>CC058_M</v>
      </c>
      <c r="K31" t="s">
        <v>414</v>
      </c>
    </row>
    <row r="32" spans="1:11" x14ac:dyDescent="0.2">
      <c r="A32">
        <v>25</v>
      </c>
      <c r="B32" t="s">
        <v>104</v>
      </c>
      <c r="C32" t="s">
        <v>105</v>
      </c>
      <c r="D32" s="1">
        <v>43252</v>
      </c>
      <c r="E32" t="s">
        <v>9</v>
      </c>
      <c r="F32" t="s">
        <v>106</v>
      </c>
      <c r="G32">
        <v>5</v>
      </c>
      <c r="H32">
        <v>3</v>
      </c>
      <c r="I32" t="s">
        <v>107</v>
      </c>
      <c r="J32" t="str">
        <f t="shared" si="0"/>
        <v>CC071_M</v>
      </c>
      <c r="K32" t="s">
        <v>415</v>
      </c>
    </row>
    <row r="33" spans="1:11" x14ac:dyDescent="0.2">
      <c r="A33">
        <v>26</v>
      </c>
      <c r="B33" t="s">
        <v>108</v>
      </c>
      <c r="C33" t="s">
        <v>109</v>
      </c>
      <c r="D33" s="1">
        <v>43243</v>
      </c>
      <c r="E33" t="s">
        <v>9</v>
      </c>
      <c r="F33" t="s">
        <v>110</v>
      </c>
      <c r="G33">
        <v>6</v>
      </c>
      <c r="H33">
        <v>3</v>
      </c>
      <c r="I33" t="s">
        <v>111</v>
      </c>
      <c r="J33" t="str">
        <f t="shared" si="0"/>
        <v>CC011_M</v>
      </c>
      <c r="K33" t="s">
        <v>416</v>
      </c>
    </row>
    <row r="34" spans="1:11" x14ac:dyDescent="0.2">
      <c r="A34">
        <v>27</v>
      </c>
      <c r="B34" t="s">
        <v>81</v>
      </c>
      <c r="C34" t="s">
        <v>82</v>
      </c>
      <c r="D34" s="1">
        <v>43261</v>
      </c>
      <c r="E34" t="s">
        <v>14</v>
      </c>
      <c r="F34" t="s">
        <v>112</v>
      </c>
      <c r="G34">
        <v>7</v>
      </c>
      <c r="H34">
        <v>3</v>
      </c>
      <c r="I34" t="s">
        <v>113</v>
      </c>
      <c r="J34" t="str">
        <f t="shared" si="0"/>
        <v>CC078_F</v>
      </c>
      <c r="K34" t="s">
        <v>417</v>
      </c>
    </row>
    <row r="35" spans="1:11" x14ac:dyDescent="0.2">
      <c r="A35">
        <v>28</v>
      </c>
      <c r="B35" t="s">
        <v>114</v>
      </c>
      <c r="C35" t="s">
        <v>115</v>
      </c>
      <c r="D35" s="1">
        <v>43248</v>
      </c>
      <c r="E35" t="s">
        <v>9</v>
      </c>
      <c r="F35" t="s">
        <v>116</v>
      </c>
      <c r="G35">
        <v>8</v>
      </c>
      <c r="H35">
        <v>3</v>
      </c>
      <c r="I35" t="s">
        <v>117</v>
      </c>
      <c r="J35" t="str">
        <f t="shared" si="0"/>
        <v>CC021_M</v>
      </c>
      <c r="K35" t="s">
        <v>418</v>
      </c>
    </row>
    <row r="36" spans="1:11" x14ac:dyDescent="0.2">
      <c r="A36">
        <v>29</v>
      </c>
      <c r="B36" t="s">
        <v>118</v>
      </c>
      <c r="C36" t="s">
        <v>119</v>
      </c>
      <c r="D36" s="1">
        <v>43263</v>
      </c>
      <c r="E36" t="s">
        <v>14</v>
      </c>
      <c r="F36" t="s">
        <v>120</v>
      </c>
      <c r="G36">
        <v>9</v>
      </c>
      <c r="H36">
        <v>3</v>
      </c>
      <c r="I36" t="s">
        <v>121</v>
      </c>
      <c r="J36" t="str">
        <f t="shared" si="0"/>
        <v>CC062_F</v>
      </c>
      <c r="K36" t="s">
        <v>419</v>
      </c>
    </row>
    <row r="37" spans="1:11" x14ac:dyDescent="0.2">
      <c r="A37">
        <v>30</v>
      </c>
      <c r="B37" t="s">
        <v>122</v>
      </c>
      <c r="C37" t="s">
        <v>123</v>
      </c>
      <c r="D37" s="1">
        <v>43247</v>
      </c>
      <c r="E37" t="s">
        <v>9</v>
      </c>
      <c r="F37" t="s">
        <v>124</v>
      </c>
      <c r="G37">
        <v>10</v>
      </c>
      <c r="H37">
        <v>3</v>
      </c>
      <c r="I37" t="s">
        <v>125</v>
      </c>
      <c r="J37" t="str">
        <f t="shared" si="0"/>
        <v>CC016_M</v>
      </c>
      <c r="K37" t="s">
        <v>420</v>
      </c>
    </row>
    <row r="38" spans="1:11" x14ac:dyDescent="0.2">
      <c r="B38" t="s">
        <v>49</v>
      </c>
      <c r="C38" t="s">
        <v>49</v>
      </c>
      <c r="D38" t="s">
        <v>49</v>
      </c>
      <c r="E38" t="s">
        <v>49</v>
      </c>
      <c r="F38" t="s">
        <v>49</v>
      </c>
      <c r="G38">
        <v>11</v>
      </c>
      <c r="H38">
        <v>3</v>
      </c>
      <c r="I38" t="s">
        <v>126</v>
      </c>
      <c r="J38" t="str">
        <f t="shared" si="0"/>
        <v xml:space="preserve">Bridge _Bridge </v>
      </c>
      <c r="K38" t="s">
        <v>390</v>
      </c>
    </row>
    <row r="40" spans="1:11" x14ac:dyDescent="0.2">
      <c r="A40">
        <v>31</v>
      </c>
      <c r="B40" t="s">
        <v>127</v>
      </c>
      <c r="C40" t="s">
        <v>128</v>
      </c>
      <c r="D40" s="1">
        <v>43242</v>
      </c>
      <c r="E40" t="s">
        <v>14</v>
      </c>
      <c r="F40" t="s">
        <v>129</v>
      </c>
      <c r="G40">
        <v>1</v>
      </c>
      <c r="H40">
        <v>4</v>
      </c>
      <c r="I40" t="s">
        <v>130</v>
      </c>
      <c r="J40" t="str">
        <f t="shared" si="0"/>
        <v>CC029_F</v>
      </c>
      <c r="K40" t="s">
        <v>421</v>
      </c>
    </row>
    <row r="41" spans="1:11" x14ac:dyDescent="0.2">
      <c r="A41">
        <v>32</v>
      </c>
      <c r="B41" t="s">
        <v>69</v>
      </c>
      <c r="C41" t="s">
        <v>70</v>
      </c>
      <c r="D41" s="1">
        <v>43236</v>
      </c>
      <c r="E41" t="s">
        <v>9</v>
      </c>
      <c r="F41" t="s">
        <v>131</v>
      </c>
      <c r="G41">
        <v>2</v>
      </c>
      <c r="H41">
        <v>4</v>
      </c>
      <c r="I41" t="s">
        <v>132</v>
      </c>
      <c r="J41" t="str">
        <f t="shared" si="0"/>
        <v>CC012_M</v>
      </c>
      <c r="K41" t="s">
        <v>422</v>
      </c>
    </row>
    <row r="42" spans="1:11" x14ac:dyDescent="0.2">
      <c r="A42">
        <v>33</v>
      </c>
      <c r="B42" t="s">
        <v>133</v>
      </c>
      <c r="C42" t="s">
        <v>134</v>
      </c>
      <c r="D42" s="1">
        <v>43243</v>
      </c>
      <c r="E42" t="s">
        <v>14</v>
      </c>
      <c r="F42" t="s">
        <v>135</v>
      </c>
      <c r="G42">
        <v>3</v>
      </c>
      <c r="H42">
        <v>4</v>
      </c>
      <c r="I42" t="s">
        <v>136</v>
      </c>
      <c r="J42" t="str">
        <f t="shared" si="0"/>
        <v>CC024_F</v>
      </c>
      <c r="K42" t="s">
        <v>423</v>
      </c>
    </row>
    <row r="43" spans="1:11" x14ac:dyDescent="0.2">
      <c r="A43">
        <v>34</v>
      </c>
      <c r="B43" t="s">
        <v>137</v>
      </c>
      <c r="C43" t="s">
        <v>138</v>
      </c>
      <c r="D43" s="1">
        <v>43242</v>
      </c>
      <c r="E43" t="s">
        <v>14</v>
      </c>
      <c r="F43" t="s">
        <v>139</v>
      </c>
      <c r="G43">
        <v>4</v>
      </c>
      <c r="H43">
        <v>4</v>
      </c>
      <c r="I43" t="s">
        <v>140</v>
      </c>
      <c r="J43" t="str">
        <f t="shared" si="0"/>
        <v>CC080_F</v>
      </c>
      <c r="K43" t="s">
        <v>424</v>
      </c>
    </row>
    <row r="44" spans="1:11" x14ac:dyDescent="0.2">
      <c r="A44">
        <v>35</v>
      </c>
      <c r="B44" t="s">
        <v>141</v>
      </c>
      <c r="C44" t="s">
        <v>142</v>
      </c>
      <c r="D44" s="1">
        <v>43241</v>
      </c>
      <c r="E44" t="s">
        <v>14</v>
      </c>
      <c r="F44" t="s">
        <v>143</v>
      </c>
      <c r="G44">
        <v>5</v>
      </c>
      <c r="H44">
        <v>4</v>
      </c>
      <c r="I44" t="s">
        <v>144</v>
      </c>
      <c r="J44" t="str">
        <f t="shared" si="0"/>
        <v>CC059_F</v>
      </c>
      <c r="K44" t="s">
        <v>425</v>
      </c>
    </row>
    <row r="45" spans="1:11" x14ac:dyDescent="0.2">
      <c r="A45">
        <v>36</v>
      </c>
      <c r="B45" t="s">
        <v>55</v>
      </c>
      <c r="C45" t="s">
        <v>56</v>
      </c>
      <c r="D45" s="1">
        <v>43254</v>
      </c>
      <c r="E45" t="s">
        <v>14</v>
      </c>
      <c r="F45" t="s">
        <v>145</v>
      </c>
      <c r="G45">
        <v>6</v>
      </c>
      <c r="H45">
        <v>4</v>
      </c>
      <c r="I45" t="s">
        <v>146</v>
      </c>
      <c r="J45" t="str">
        <f t="shared" si="0"/>
        <v>CC045_F</v>
      </c>
      <c r="K45" t="s">
        <v>426</v>
      </c>
    </row>
    <row r="46" spans="1:11" x14ac:dyDescent="0.2">
      <c r="A46">
        <v>37</v>
      </c>
      <c r="B46" t="s">
        <v>92</v>
      </c>
      <c r="C46" t="s">
        <v>93</v>
      </c>
      <c r="D46" s="1">
        <v>43253</v>
      </c>
      <c r="E46" t="s">
        <v>9</v>
      </c>
      <c r="F46" t="s">
        <v>147</v>
      </c>
      <c r="G46">
        <v>7</v>
      </c>
      <c r="H46">
        <v>4</v>
      </c>
      <c r="I46" t="s">
        <v>148</v>
      </c>
      <c r="J46" t="str">
        <f t="shared" si="0"/>
        <v>CC049_M</v>
      </c>
      <c r="K46" t="s">
        <v>427</v>
      </c>
    </row>
    <row r="47" spans="1:11" x14ac:dyDescent="0.2">
      <c r="A47">
        <v>38</v>
      </c>
      <c r="B47" t="s">
        <v>149</v>
      </c>
      <c r="C47" t="s">
        <v>150</v>
      </c>
      <c r="D47" s="1">
        <v>43242</v>
      </c>
      <c r="E47" t="s">
        <v>14</v>
      </c>
      <c r="F47" t="s">
        <v>151</v>
      </c>
      <c r="G47">
        <v>8</v>
      </c>
      <c r="H47">
        <v>4</v>
      </c>
      <c r="I47" t="s">
        <v>152</v>
      </c>
      <c r="J47" t="str">
        <f t="shared" si="0"/>
        <v>CC005_F</v>
      </c>
      <c r="K47" t="s">
        <v>428</v>
      </c>
    </row>
    <row r="48" spans="1:11" x14ac:dyDescent="0.2">
      <c r="A48">
        <v>39</v>
      </c>
      <c r="B48" t="s">
        <v>153</v>
      </c>
      <c r="C48" t="s">
        <v>154</v>
      </c>
      <c r="D48" s="1">
        <v>43241</v>
      </c>
      <c r="E48" t="s">
        <v>9</v>
      </c>
      <c r="F48" t="s">
        <v>155</v>
      </c>
      <c r="G48">
        <v>9</v>
      </c>
      <c r="H48">
        <v>4</v>
      </c>
      <c r="I48" t="s">
        <v>156</v>
      </c>
      <c r="J48" t="str">
        <f t="shared" si="0"/>
        <v>CC081_M</v>
      </c>
      <c r="K48" t="s">
        <v>429</v>
      </c>
    </row>
    <row r="49" spans="1:11" x14ac:dyDescent="0.2">
      <c r="A49">
        <v>40</v>
      </c>
      <c r="B49" t="s">
        <v>157</v>
      </c>
      <c r="C49" t="s">
        <v>158</v>
      </c>
      <c r="D49" s="1">
        <v>43261</v>
      </c>
      <c r="E49" t="s">
        <v>14</v>
      </c>
      <c r="F49" t="s">
        <v>159</v>
      </c>
      <c r="G49">
        <v>10</v>
      </c>
      <c r="H49">
        <v>4</v>
      </c>
      <c r="I49" t="s">
        <v>160</v>
      </c>
      <c r="J49" t="str">
        <f t="shared" si="0"/>
        <v>CC015_F</v>
      </c>
      <c r="K49" t="s">
        <v>430</v>
      </c>
    </row>
    <row r="50" spans="1:11" x14ac:dyDescent="0.2">
      <c r="B50" t="s">
        <v>49</v>
      </c>
      <c r="C50" t="s">
        <v>49</v>
      </c>
      <c r="D50" t="s">
        <v>49</v>
      </c>
      <c r="E50" t="s">
        <v>49</v>
      </c>
      <c r="F50" t="s">
        <v>49</v>
      </c>
      <c r="G50">
        <v>11</v>
      </c>
      <c r="H50">
        <v>4</v>
      </c>
      <c r="I50" t="s">
        <v>161</v>
      </c>
      <c r="J50" t="str">
        <f t="shared" si="0"/>
        <v xml:space="preserve">Bridge _Bridge </v>
      </c>
      <c r="K50" t="s">
        <v>390</v>
      </c>
    </row>
    <row r="52" spans="1:11" x14ac:dyDescent="0.2">
      <c r="A52">
        <v>41</v>
      </c>
      <c r="B52" t="s">
        <v>162</v>
      </c>
      <c r="C52" t="s">
        <v>163</v>
      </c>
      <c r="D52" s="1">
        <v>43240</v>
      </c>
      <c r="E52" t="s">
        <v>14</v>
      </c>
      <c r="F52" t="s">
        <v>164</v>
      </c>
      <c r="G52">
        <v>1</v>
      </c>
      <c r="H52">
        <v>5</v>
      </c>
      <c r="I52" t="s">
        <v>165</v>
      </c>
      <c r="J52" t="str">
        <f t="shared" si="0"/>
        <v>CC046_F</v>
      </c>
      <c r="K52" t="s">
        <v>431</v>
      </c>
    </row>
    <row r="53" spans="1:11" x14ac:dyDescent="0.2">
      <c r="A53">
        <v>42</v>
      </c>
      <c r="B53" t="s">
        <v>166</v>
      </c>
      <c r="C53" t="s">
        <v>167</v>
      </c>
      <c r="D53" s="1">
        <v>43242</v>
      </c>
      <c r="E53" t="s">
        <v>14</v>
      </c>
      <c r="F53" t="s">
        <v>168</v>
      </c>
      <c r="G53">
        <v>2</v>
      </c>
      <c r="H53">
        <v>5</v>
      </c>
      <c r="I53" t="s">
        <v>169</v>
      </c>
      <c r="J53" t="str">
        <f t="shared" si="0"/>
        <v>CC023_F</v>
      </c>
      <c r="K53" t="s">
        <v>432</v>
      </c>
    </row>
    <row r="54" spans="1:11" x14ac:dyDescent="0.2">
      <c r="A54">
        <v>43</v>
      </c>
      <c r="B54" t="s">
        <v>157</v>
      </c>
      <c r="C54" t="s">
        <v>158</v>
      </c>
      <c r="D54" s="1">
        <v>43262</v>
      </c>
      <c r="E54" t="s">
        <v>9</v>
      </c>
      <c r="F54" t="s">
        <v>170</v>
      </c>
      <c r="G54">
        <v>3</v>
      </c>
      <c r="H54">
        <v>5</v>
      </c>
      <c r="I54" t="s">
        <v>171</v>
      </c>
      <c r="J54" t="str">
        <f t="shared" si="0"/>
        <v>CC015_M</v>
      </c>
      <c r="K54" t="s">
        <v>433</v>
      </c>
    </row>
    <row r="55" spans="1:11" x14ac:dyDescent="0.2">
      <c r="A55">
        <v>44</v>
      </c>
      <c r="B55" t="s">
        <v>172</v>
      </c>
      <c r="C55" t="s">
        <v>173</v>
      </c>
      <c r="D55" s="1">
        <v>43242</v>
      </c>
      <c r="E55" t="s">
        <v>9</v>
      </c>
      <c r="F55" t="s">
        <v>174</v>
      </c>
      <c r="G55">
        <v>4</v>
      </c>
      <c r="H55">
        <v>5</v>
      </c>
      <c r="I55" t="s">
        <v>175</v>
      </c>
      <c r="J55" t="str">
        <f t="shared" si="0"/>
        <v>CC044_M</v>
      </c>
      <c r="K55" t="s">
        <v>434</v>
      </c>
    </row>
    <row r="56" spans="1:11" x14ac:dyDescent="0.2">
      <c r="A56">
        <v>45</v>
      </c>
      <c r="B56" t="s">
        <v>176</v>
      </c>
      <c r="C56" t="s">
        <v>177</v>
      </c>
      <c r="D56" s="1">
        <v>43247</v>
      </c>
      <c r="E56" t="s">
        <v>9</v>
      </c>
      <c r="F56" t="s">
        <v>178</v>
      </c>
      <c r="G56">
        <v>5</v>
      </c>
      <c r="H56">
        <v>5</v>
      </c>
      <c r="I56" t="s">
        <v>179</v>
      </c>
      <c r="J56" t="str">
        <f t="shared" si="0"/>
        <v>CC082_M</v>
      </c>
      <c r="K56" t="s">
        <v>435</v>
      </c>
    </row>
    <row r="57" spans="1:11" x14ac:dyDescent="0.2">
      <c r="A57">
        <v>46</v>
      </c>
      <c r="B57" t="s">
        <v>180</v>
      </c>
      <c r="C57" t="s">
        <v>181</v>
      </c>
      <c r="D57" t="s">
        <v>182</v>
      </c>
      <c r="E57" t="s">
        <v>14</v>
      </c>
      <c r="F57" t="s">
        <v>183</v>
      </c>
      <c r="G57">
        <v>6</v>
      </c>
      <c r="H57">
        <v>5</v>
      </c>
      <c r="I57" t="s">
        <v>184</v>
      </c>
      <c r="J57" t="str">
        <f t="shared" si="0"/>
        <v>CC030_F</v>
      </c>
      <c r="K57" t="s">
        <v>436</v>
      </c>
    </row>
    <row r="58" spans="1:11" x14ac:dyDescent="0.2">
      <c r="A58">
        <v>47</v>
      </c>
      <c r="B58" t="s">
        <v>185</v>
      </c>
      <c r="C58" t="s">
        <v>186</v>
      </c>
      <c r="D58" s="1">
        <v>43249</v>
      </c>
      <c r="E58" t="s">
        <v>14</v>
      </c>
      <c r="F58" t="s">
        <v>187</v>
      </c>
      <c r="G58">
        <v>7</v>
      </c>
      <c r="H58">
        <v>5</v>
      </c>
      <c r="I58" t="s">
        <v>188</v>
      </c>
      <c r="J58" t="str">
        <f t="shared" si="0"/>
        <v>CC038_F</v>
      </c>
      <c r="K58" t="s">
        <v>437</v>
      </c>
    </row>
    <row r="59" spans="1:11" x14ac:dyDescent="0.2">
      <c r="A59">
        <v>48</v>
      </c>
      <c r="B59" t="s">
        <v>189</v>
      </c>
      <c r="C59" t="s">
        <v>190</v>
      </c>
      <c r="D59" s="1">
        <v>43253</v>
      </c>
      <c r="E59" t="s">
        <v>14</v>
      </c>
      <c r="F59" t="s">
        <v>191</v>
      </c>
      <c r="G59">
        <v>8</v>
      </c>
      <c r="H59">
        <v>5</v>
      </c>
      <c r="I59" t="s">
        <v>192</v>
      </c>
      <c r="J59" t="str">
        <f t="shared" si="0"/>
        <v>CC037_F</v>
      </c>
      <c r="K59" t="s">
        <v>438</v>
      </c>
    </row>
    <row r="60" spans="1:11" x14ac:dyDescent="0.2">
      <c r="A60">
        <v>49</v>
      </c>
      <c r="B60" t="s">
        <v>189</v>
      </c>
      <c r="C60" t="s">
        <v>190</v>
      </c>
      <c r="D60" s="1">
        <v>43253</v>
      </c>
      <c r="E60" t="s">
        <v>9</v>
      </c>
      <c r="F60" t="s">
        <v>193</v>
      </c>
      <c r="G60">
        <v>9</v>
      </c>
      <c r="H60">
        <v>5</v>
      </c>
      <c r="I60" t="s">
        <v>194</v>
      </c>
      <c r="J60" t="str">
        <f t="shared" si="0"/>
        <v>CC037_M</v>
      </c>
      <c r="K60" t="s">
        <v>439</v>
      </c>
    </row>
    <row r="61" spans="1:11" x14ac:dyDescent="0.2">
      <c r="A61">
        <v>50</v>
      </c>
      <c r="B61" t="s">
        <v>195</v>
      </c>
      <c r="C61" t="s">
        <v>196</v>
      </c>
      <c r="D61" s="1">
        <v>43240</v>
      </c>
      <c r="E61" t="s">
        <v>14</v>
      </c>
      <c r="F61" t="s">
        <v>197</v>
      </c>
      <c r="G61">
        <v>10</v>
      </c>
      <c r="H61">
        <v>5</v>
      </c>
      <c r="I61" t="s">
        <v>198</v>
      </c>
      <c r="J61" t="str">
        <f t="shared" si="0"/>
        <v>CC060_F</v>
      </c>
      <c r="K61" t="s">
        <v>440</v>
      </c>
    </row>
    <row r="62" spans="1:11" x14ac:dyDescent="0.2">
      <c r="B62" t="s">
        <v>49</v>
      </c>
      <c r="C62" t="s">
        <v>49</v>
      </c>
      <c r="D62" t="s">
        <v>49</v>
      </c>
      <c r="E62" t="s">
        <v>49</v>
      </c>
      <c r="F62" t="s">
        <v>49</v>
      </c>
      <c r="G62">
        <v>11</v>
      </c>
      <c r="H62">
        <v>5</v>
      </c>
      <c r="I62" t="s">
        <v>199</v>
      </c>
      <c r="J62" t="str">
        <f t="shared" si="0"/>
        <v xml:space="preserve">Bridge _Bridge </v>
      </c>
      <c r="K62" t="s">
        <v>390</v>
      </c>
    </row>
    <row r="64" spans="1:11" x14ac:dyDescent="0.2">
      <c r="A64">
        <v>51</v>
      </c>
      <c r="B64" t="s">
        <v>77</v>
      </c>
      <c r="C64" t="s">
        <v>78</v>
      </c>
      <c r="D64" s="1">
        <v>43244</v>
      </c>
      <c r="E64" t="s">
        <v>14</v>
      </c>
      <c r="F64" t="s">
        <v>200</v>
      </c>
      <c r="G64">
        <v>1</v>
      </c>
      <c r="H64">
        <v>6</v>
      </c>
      <c r="I64" t="s">
        <v>201</v>
      </c>
      <c r="J64" t="str">
        <f t="shared" si="0"/>
        <v>CC039_F</v>
      </c>
      <c r="K64" t="s">
        <v>441</v>
      </c>
    </row>
    <row r="65" spans="1:11" x14ac:dyDescent="0.2">
      <c r="A65">
        <v>52</v>
      </c>
      <c r="B65" t="s">
        <v>202</v>
      </c>
      <c r="C65" t="s">
        <v>203</v>
      </c>
      <c r="D65" s="1">
        <v>43235</v>
      </c>
      <c r="E65" t="s">
        <v>9</v>
      </c>
      <c r="F65" t="s">
        <v>204</v>
      </c>
      <c r="G65">
        <v>2</v>
      </c>
      <c r="H65">
        <v>6</v>
      </c>
      <c r="I65" t="s">
        <v>205</v>
      </c>
      <c r="J65" t="str">
        <f t="shared" si="0"/>
        <v>CC031_M</v>
      </c>
      <c r="K65" t="s">
        <v>442</v>
      </c>
    </row>
    <row r="66" spans="1:11" x14ac:dyDescent="0.2">
      <c r="A66">
        <v>53</v>
      </c>
      <c r="B66" t="s">
        <v>206</v>
      </c>
      <c r="C66" t="s">
        <v>207</v>
      </c>
      <c r="D66" s="1">
        <v>43254</v>
      </c>
      <c r="E66" t="s">
        <v>9</v>
      </c>
      <c r="F66" t="s">
        <v>208</v>
      </c>
      <c r="G66">
        <v>3</v>
      </c>
      <c r="H66">
        <v>6</v>
      </c>
      <c r="I66" t="s">
        <v>209</v>
      </c>
      <c r="J66" t="str">
        <f t="shared" si="0"/>
        <v>CC007_M</v>
      </c>
      <c r="K66" t="s">
        <v>443</v>
      </c>
    </row>
    <row r="67" spans="1:11" x14ac:dyDescent="0.2">
      <c r="A67">
        <v>54</v>
      </c>
      <c r="B67" t="s">
        <v>176</v>
      </c>
      <c r="C67" t="s">
        <v>177</v>
      </c>
      <c r="D67" s="1">
        <v>43256</v>
      </c>
      <c r="E67" t="s">
        <v>14</v>
      </c>
      <c r="F67" t="s">
        <v>210</v>
      </c>
      <c r="G67">
        <v>4</v>
      </c>
      <c r="H67">
        <v>6</v>
      </c>
      <c r="I67" t="s">
        <v>211</v>
      </c>
      <c r="J67" t="str">
        <f t="shared" si="0"/>
        <v>CC082_F</v>
      </c>
      <c r="K67" t="s">
        <v>444</v>
      </c>
    </row>
    <row r="68" spans="1:11" x14ac:dyDescent="0.2">
      <c r="A68">
        <v>55</v>
      </c>
      <c r="B68" t="s">
        <v>114</v>
      </c>
      <c r="C68" t="s">
        <v>115</v>
      </c>
      <c r="D68" s="1">
        <v>43237</v>
      </c>
      <c r="E68" t="s">
        <v>14</v>
      </c>
      <c r="F68" t="s">
        <v>212</v>
      </c>
      <c r="G68">
        <v>5</v>
      </c>
      <c r="H68">
        <v>6</v>
      </c>
      <c r="I68" t="s">
        <v>213</v>
      </c>
      <c r="J68" t="str">
        <f t="shared" si="0"/>
        <v>CC021_F</v>
      </c>
      <c r="K68" t="s">
        <v>445</v>
      </c>
    </row>
    <row r="69" spans="1:11" x14ac:dyDescent="0.2">
      <c r="A69">
        <v>56</v>
      </c>
      <c r="B69" t="s">
        <v>214</v>
      </c>
      <c r="C69" t="s">
        <v>215</v>
      </c>
      <c r="D69" s="1">
        <v>43247</v>
      </c>
      <c r="E69" t="s">
        <v>9</v>
      </c>
      <c r="F69" t="s">
        <v>216</v>
      </c>
      <c r="G69">
        <v>6</v>
      </c>
      <c r="H69">
        <v>6</v>
      </c>
      <c r="I69" t="s">
        <v>217</v>
      </c>
      <c r="J69" t="str">
        <f t="shared" si="0"/>
        <v>CC008_M</v>
      </c>
      <c r="K69" t="s">
        <v>446</v>
      </c>
    </row>
    <row r="70" spans="1:11" x14ac:dyDescent="0.2">
      <c r="A70">
        <v>57</v>
      </c>
      <c r="B70" t="s">
        <v>162</v>
      </c>
      <c r="C70" t="s">
        <v>163</v>
      </c>
      <c r="D70" s="1">
        <v>43252</v>
      </c>
      <c r="E70" t="s">
        <v>9</v>
      </c>
      <c r="F70" t="s">
        <v>218</v>
      </c>
      <c r="G70">
        <v>7</v>
      </c>
      <c r="H70">
        <v>6</v>
      </c>
      <c r="I70" t="s">
        <v>219</v>
      </c>
      <c r="J70" t="str">
        <f t="shared" si="0"/>
        <v>CC046_M</v>
      </c>
      <c r="K70" t="s">
        <v>447</v>
      </c>
    </row>
    <row r="71" spans="1:11" x14ac:dyDescent="0.2">
      <c r="A71">
        <v>58</v>
      </c>
      <c r="B71" t="s">
        <v>195</v>
      </c>
      <c r="C71" t="s">
        <v>196</v>
      </c>
      <c r="D71" s="1">
        <v>43246</v>
      </c>
      <c r="E71" t="s">
        <v>9</v>
      </c>
      <c r="F71" t="s">
        <v>220</v>
      </c>
      <c r="G71">
        <v>8</v>
      </c>
      <c r="H71">
        <v>6</v>
      </c>
      <c r="I71" t="s">
        <v>221</v>
      </c>
      <c r="J71" t="str">
        <f t="shared" si="0"/>
        <v>CC060_M</v>
      </c>
      <c r="K71" t="s">
        <v>448</v>
      </c>
    </row>
    <row r="72" spans="1:11" x14ac:dyDescent="0.2">
      <c r="A72">
        <v>59</v>
      </c>
      <c r="B72" t="s">
        <v>51</v>
      </c>
      <c r="C72" t="s">
        <v>52</v>
      </c>
      <c r="D72" s="1">
        <v>43241</v>
      </c>
      <c r="E72" t="s">
        <v>14</v>
      </c>
      <c r="F72" t="s">
        <v>222</v>
      </c>
      <c r="G72">
        <v>9</v>
      </c>
      <c r="H72">
        <v>6</v>
      </c>
      <c r="I72" t="s">
        <v>223</v>
      </c>
      <c r="J72" t="str">
        <f t="shared" si="0"/>
        <v>CC025_F</v>
      </c>
      <c r="K72" t="s">
        <v>449</v>
      </c>
    </row>
    <row r="73" spans="1:11" x14ac:dyDescent="0.2">
      <c r="A73">
        <v>60</v>
      </c>
      <c r="B73" t="s">
        <v>37</v>
      </c>
      <c r="C73" t="s">
        <v>38</v>
      </c>
      <c r="D73" s="1">
        <v>43248</v>
      </c>
      <c r="E73" t="s">
        <v>14</v>
      </c>
      <c r="F73" t="s">
        <v>224</v>
      </c>
      <c r="G73">
        <v>10</v>
      </c>
      <c r="H73">
        <v>6</v>
      </c>
      <c r="I73" t="s">
        <v>225</v>
      </c>
      <c r="J73" t="str">
        <f t="shared" si="0"/>
        <v>CC033_F</v>
      </c>
      <c r="K73" t="s">
        <v>450</v>
      </c>
    </row>
    <row r="74" spans="1:11" x14ac:dyDescent="0.2">
      <c r="B74" t="s">
        <v>49</v>
      </c>
      <c r="C74" t="s">
        <v>49</v>
      </c>
      <c r="D74" t="s">
        <v>49</v>
      </c>
      <c r="E74" t="s">
        <v>49</v>
      </c>
      <c r="F74" t="s">
        <v>49</v>
      </c>
      <c r="G74">
        <v>11</v>
      </c>
      <c r="H74">
        <v>6</v>
      </c>
      <c r="I74" t="s">
        <v>226</v>
      </c>
      <c r="J74" t="str">
        <f t="shared" ref="J74:J143" si="1">_xlfn.TEXTJOIN("_", FALSE, C74,E74)</f>
        <v xml:space="preserve">Bridge _Bridge </v>
      </c>
      <c r="K74" t="s">
        <v>390</v>
      </c>
    </row>
    <row r="76" spans="1:11" x14ac:dyDescent="0.2">
      <c r="A76">
        <v>61</v>
      </c>
      <c r="B76" t="s">
        <v>122</v>
      </c>
      <c r="C76" t="s">
        <v>123</v>
      </c>
      <c r="D76" s="1">
        <v>43247</v>
      </c>
      <c r="E76" t="s">
        <v>14</v>
      </c>
      <c r="F76" t="s">
        <v>227</v>
      </c>
      <c r="G76">
        <v>1</v>
      </c>
      <c r="H76">
        <v>7</v>
      </c>
      <c r="I76" t="s">
        <v>228</v>
      </c>
      <c r="J76" t="str">
        <f t="shared" si="1"/>
        <v>CC016_F</v>
      </c>
      <c r="K76" t="s">
        <v>451</v>
      </c>
    </row>
    <row r="77" spans="1:11" x14ac:dyDescent="0.2">
      <c r="A77">
        <v>62</v>
      </c>
      <c r="B77" t="s">
        <v>118</v>
      </c>
      <c r="C77" t="s">
        <v>119</v>
      </c>
      <c r="D77" s="1">
        <v>43241</v>
      </c>
      <c r="E77" t="s">
        <v>9</v>
      </c>
      <c r="F77" t="s">
        <v>229</v>
      </c>
      <c r="G77">
        <v>2</v>
      </c>
      <c r="H77">
        <v>7</v>
      </c>
      <c r="I77" t="s">
        <v>230</v>
      </c>
      <c r="J77" t="str">
        <f t="shared" si="1"/>
        <v>CC062_M</v>
      </c>
      <c r="K77" t="s">
        <v>452</v>
      </c>
    </row>
    <row r="78" spans="1:11" x14ac:dyDescent="0.2">
      <c r="A78">
        <v>63</v>
      </c>
      <c r="B78" t="s">
        <v>25</v>
      </c>
      <c r="C78" t="s">
        <v>26</v>
      </c>
      <c r="D78" s="1">
        <v>43247</v>
      </c>
      <c r="E78" t="s">
        <v>14</v>
      </c>
      <c r="F78" t="s">
        <v>231</v>
      </c>
      <c r="G78">
        <v>3</v>
      </c>
      <c r="H78">
        <v>7</v>
      </c>
      <c r="I78" t="s">
        <v>232</v>
      </c>
      <c r="J78" t="str">
        <f t="shared" si="1"/>
        <v>CC002_F</v>
      </c>
      <c r="K78" t="s">
        <v>453</v>
      </c>
    </row>
    <row r="79" spans="1:11" x14ac:dyDescent="0.2">
      <c r="A79">
        <v>64</v>
      </c>
      <c r="B79" t="s">
        <v>21</v>
      </c>
      <c r="C79" t="s">
        <v>22</v>
      </c>
      <c r="D79" t="s">
        <v>182</v>
      </c>
      <c r="E79" t="s">
        <v>14</v>
      </c>
      <c r="F79" t="s">
        <v>233</v>
      </c>
      <c r="G79">
        <v>4</v>
      </c>
      <c r="H79">
        <v>7</v>
      </c>
      <c r="I79" t="s">
        <v>234</v>
      </c>
      <c r="J79" t="str">
        <f t="shared" si="1"/>
        <v>CC013_F</v>
      </c>
      <c r="K79" t="s">
        <v>454</v>
      </c>
    </row>
    <row r="80" spans="1:11" x14ac:dyDescent="0.2">
      <c r="A80">
        <v>65</v>
      </c>
      <c r="B80" t="s">
        <v>235</v>
      </c>
      <c r="C80" t="s">
        <v>236</v>
      </c>
      <c r="D80" s="1">
        <v>43239</v>
      </c>
      <c r="E80" t="s">
        <v>14</v>
      </c>
      <c r="F80" t="s">
        <v>237</v>
      </c>
      <c r="G80">
        <v>5</v>
      </c>
      <c r="H80">
        <v>7</v>
      </c>
      <c r="I80" t="s">
        <v>238</v>
      </c>
      <c r="J80" t="str">
        <f t="shared" si="1"/>
        <v>CC079_F</v>
      </c>
      <c r="K80" t="s">
        <v>455</v>
      </c>
    </row>
    <row r="81" spans="1:11" x14ac:dyDescent="0.2">
      <c r="A81">
        <v>66</v>
      </c>
      <c r="B81" t="s">
        <v>239</v>
      </c>
      <c r="C81" t="s">
        <v>240</v>
      </c>
      <c r="D81" s="1">
        <v>43252</v>
      </c>
      <c r="E81" t="s">
        <v>14</v>
      </c>
      <c r="F81" t="s">
        <v>241</v>
      </c>
      <c r="G81">
        <v>6</v>
      </c>
      <c r="H81">
        <v>7</v>
      </c>
      <c r="I81" t="s">
        <v>242</v>
      </c>
      <c r="J81" t="str">
        <f t="shared" si="1"/>
        <v>CC001_F</v>
      </c>
      <c r="K81" t="s">
        <v>456</v>
      </c>
    </row>
    <row r="82" spans="1:11" x14ac:dyDescent="0.2">
      <c r="A82">
        <v>67</v>
      </c>
      <c r="B82" t="s">
        <v>214</v>
      </c>
      <c r="C82" t="s">
        <v>215</v>
      </c>
      <c r="D82" s="1">
        <v>43247</v>
      </c>
      <c r="E82" t="s">
        <v>14</v>
      </c>
      <c r="F82" t="s">
        <v>243</v>
      </c>
      <c r="G82">
        <v>7</v>
      </c>
      <c r="H82">
        <v>7</v>
      </c>
      <c r="I82" t="s">
        <v>244</v>
      </c>
      <c r="J82" t="str">
        <f t="shared" si="1"/>
        <v>CC008_F</v>
      </c>
      <c r="K82" t="s">
        <v>457</v>
      </c>
    </row>
    <row r="83" spans="1:11" x14ac:dyDescent="0.2">
      <c r="A83">
        <v>68</v>
      </c>
      <c r="B83" t="s">
        <v>17</v>
      </c>
      <c r="C83" t="s">
        <v>18</v>
      </c>
      <c r="D83" s="1">
        <v>43244</v>
      </c>
      <c r="E83" t="s">
        <v>14</v>
      </c>
      <c r="F83" t="s">
        <v>245</v>
      </c>
      <c r="G83">
        <v>8</v>
      </c>
      <c r="H83">
        <v>7</v>
      </c>
      <c r="I83" t="s">
        <v>246</v>
      </c>
      <c r="J83" t="str">
        <f t="shared" si="1"/>
        <v>CC042_F</v>
      </c>
      <c r="K83" t="s">
        <v>458</v>
      </c>
    </row>
    <row r="84" spans="1:11" x14ac:dyDescent="0.2">
      <c r="A84">
        <v>69</v>
      </c>
      <c r="B84" t="s">
        <v>61</v>
      </c>
      <c r="C84" t="s">
        <v>62</v>
      </c>
      <c r="D84" s="1">
        <v>43245</v>
      </c>
      <c r="E84" t="s">
        <v>9</v>
      </c>
      <c r="F84" t="s">
        <v>247</v>
      </c>
      <c r="G84">
        <v>9</v>
      </c>
      <c r="H84">
        <v>7</v>
      </c>
      <c r="I84" t="s">
        <v>248</v>
      </c>
      <c r="J84" t="str">
        <f t="shared" si="1"/>
        <v>CC055_M</v>
      </c>
      <c r="K84" t="s">
        <v>459</v>
      </c>
    </row>
    <row r="85" spans="1:11" x14ac:dyDescent="0.2">
      <c r="A85">
        <v>70</v>
      </c>
      <c r="B85" t="s">
        <v>249</v>
      </c>
      <c r="C85" t="s">
        <v>250</v>
      </c>
      <c r="D85" s="1">
        <v>43243</v>
      </c>
      <c r="E85" t="s">
        <v>9</v>
      </c>
      <c r="F85" t="s">
        <v>251</v>
      </c>
      <c r="G85">
        <v>10</v>
      </c>
      <c r="H85">
        <v>7</v>
      </c>
      <c r="I85" t="s">
        <v>252</v>
      </c>
      <c r="J85" t="str">
        <f t="shared" si="1"/>
        <v>CC027_M</v>
      </c>
      <c r="K85" t="s">
        <v>460</v>
      </c>
    </row>
    <row r="86" spans="1:11" x14ac:dyDescent="0.2">
      <c r="B86" t="s">
        <v>49</v>
      </c>
      <c r="C86" t="s">
        <v>49</v>
      </c>
      <c r="D86" t="s">
        <v>49</v>
      </c>
      <c r="E86" t="s">
        <v>49</v>
      </c>
      <c r="F86" t="s">
        <v>49</v>
      </c>
      <c r="G86">
        <v>11</v>
      </c>
      <c r="H86">
        <v>7</v>
      </c>
      <c r="I86" t="s">
        <v>253</v>
      </c>
      <c r="J86" t="str">
        <f t="shared" si="1"/>
        <v xml:space="preserve">Bridge _Bridge </v>
      </c>
      <c r="K86" t="s">
        <v>390</v>
      </c>
    </row>
    <row r="88" spans="1:11" x14ac:dyDescent="0.2">
      <c r="A88">
        <v>71</v>
      </c>
      <c r="B88" t="s">
        <v>141</v>
      </c>
      <c r="C88" t="s">
        <v>142</v>
      </c>
      <c r="D88" s="1">
        <v>43244</v>
      </c>
      <c r="E88" t="s">
        <v>9</v>
      </c>
      <c r="F88" t="s">
        <v>254</v>
      </c>
      <c r="G88">
        <v>1</v>
      </c>
      <c r="H88">
        <v>8</v>
      </c>
      <c r="I88" t="s">
        <v>255</v>
      </c>
      <c r="J88" t="str">
        <f t="shared" si="1"/>
        <v>CC059_M</v>
      </c>
      <c r="K88" t="s">
        <v>461</v>
      </c>
    </row>
    <row r="89" spans="1:11" x14ac:dyDescent="0.2">
      <c r="A89">
        <v>72</v>
      </c>
      <c r="B89" t="s">
        <v>172</v>
      </c>
      <c r="C89" t="s">
        <v>173</v>
      </c>
      <c r="D89" s="1">
        <v>43255</v>
      </c>
      <c r="E89" t="s">
        <v>14</v>
      </c>
      <c r="F89" t="s">
        <v>256</v>
      </c>
      <c r="G89">
        <v>2</v>
      </c>
      <c r="H89">
        <v>8</v>
      </c>
      <c r="I89" t="s">
        <v>257</v>
      </c>
      <c r="J89" t="str">
        <f t="shared" si="1"/>
        <v>CC044_F</v>
      </c>
      <c r="K89" t="s">
        <v>462</v>
      </c>
    </row>
    <row r="90" spans="1:11" x14ac:dyDescent="0.2">
      <c r="A90">
        <v>73</v>
      </c>
      <c r="B90" t="s">
        <v>108</v>
      </c>
      <c r="C90" t="s">
        <v>109</v>
      </c>
      <c r="D90" s="1">
        <v>43262</v>
      </c>
      <c r="E90" t="s">
        <v>14</v>
      </c>
      <c r="F90" t="s">
        <v>258</v>
      </c>
      <c r="G90">
        <v>3</v>
      </c>
      <c r="H90">
        <v>8</v>
      </c>
      <c r="I90" t="s">
        <v>259</v>
      </c>
      <c r="J90" t="str">
        <f t="shared" si="1"/>
        <v>CC011_F</v>
      </c>
      <c r="K90" t="s">
        <v>463</v>
      </c>
    </row>
    <row r="91" spans="1:11" x14ac:dyDescent="0.2">
      <c r="A91">
        <v>74</v>
      </c>
      <c r="B91" t="s">
        <v>12</v>
      </c>
      <c r="C91" t="s">
        <v>13</v>
      </c>
      <c r="D91" s="1">
        <v>43241</v>
      </c>
      <c r="E91" t="s">
        <v>9</v>
      </c>
      <c r="F91" t="s">
        <v>260</v>
      </c>
      <c r="G91">
        <v>4</v>
      </c>
      <c r="H91">
        <v>8</v>
      </c>
      <c r="I91" t="s">
        <v>261</v>
      </c>
      <c r="J91" t="str">
        <f t="shared" si="1"/>
        <v>CC057_M</v>
      </c>
      <c r="K91" t="s">
        <v>464</v>
      </c>
    </row>
    <row r="92" spans="1:11" x14ac:dyDescent="0.2">
      <c r="A92">
        <v>75</v>
      </c>
      <c r="B92" t="s">
        <v>185</v>
      </c>
      <c r="C92" t="s">
        <v>186</v>
      </c>
      <c r="D92" s="1">
        <v>43237</v>
      </c>
      <c r="E92" t="s">
        <v>9</v>
      </c>
      <c r="F92" t="s">
        <v>262</v>
      </c>
      <c r="G92">
        <v>5</v>
      </c>
      <c r="H92">
        <v>8</v>
      </c>
      <c r="I92" t="s">
        <v>263</v>
      </c>
      <c r="J92" t="str">
        <f t="shared" si="1"/>
        <v>CC038_M</v>
      </c>
      <c r="K92" t="s">
        <v>465</v>
      </c>
    </row>
    <row r="93" spans="1:11" x14ac:dyDescent="0.2">
      <c r="A93">
        <v>76</v>
      </c>
      <c r="B93" t="s">
        <v>100</v>
      </c>
      <c r="C93" t="s">
        <v>101</v>
      </c>
      <c r="D93" s="1">
        <v>43242</v>
      </c>
      <c r="E93" t="s">
        <v>14</v>
      </c>
      <c r="F93" t="s">
        <v>264</v>
      </c>
      <c r="G93">
        <v>6</v>
      </c>
      <c r="H93">
        <v>8</v>
      </c>
      <c r="I93" t="s">
        <v>265</v>
      </c>
      <c r="J93" t="str">
        <f t="shared" si="1"/>
        <v>CC058_F</v>
      </c>
      <c r="K93" t="s">
        <v>466</v>
      </c>
    </row>
    <row r="94" spans="1:11" x14ac:dyDescent="0.2">
      <c r="A94">
        <v>77</v>
      </c>
      <c r="B94" t="s">
        <v>180</v>
      </c>
      <c r="C94" t="s">
        <v>181</v>
      </c>
      <c r="D94" s="1">
        <v>43254</v>
      </c>
      <c r="E94" t="s">
        <v>14</v>
      </c>
      <c r="F94" t="s">
        <v>183</v>
      </c>
      <c r="G94">
        <v>7</v>
      </c>
      <c r="H94">
        <v>8</v>
      </c>
      <c r="I94" t="s">
        <v>266</v>
      </c>
      <c r="J94" t="str">
        <f t="shared" si="1"/>
        <v>CC030_F</v>
      </c>
      <c r="K94" t="s">
        <v>436</v>
      </c>
    </row>
    <row r="95" spans="1:11" x14ac:dyDescent="0.2">
      <c r="A95">
        <v>78</v>
      </c>
      <c r="B95" t="s">
        <v>149</v>
      </c>
      <c r="C95" t="s">
        <v>150</v>
      </c>
      <c r="D95" s="1">
        <v>43247</v>
      </c>
      <c r="E95" t="s">
        <v>9</v>
      </c>
      <c r="F95" t="s">
        <v>267</v>
      </c>
      <c r="G95">
        <v>8</v>
      </c>
      <c r="H95">
        <v>8</v>
      </c>
      <c r="I95" t="s">
        <v>268</v>
      </c>
      <c r="J95" t="str">
        <f t="shared" si="1"/>
        <v>CC005_M</v>
      </c>
      <c r="K95" t="s">
        <v>467</v>
      </c>
    </row>
    <row r="96" spans="1:11" x14ac:dyDescent="0.2">
      <c r="A96">
        <v>79</v>
      </c>
      <c r="B96" t="s">
        <v>206</v>
      </c>
      <c r="C96" t="s">
        <v>207</v>
      </c>
      <c r="D96" s="1">
        <v>43254</v>
      </c>
      <c r="E96" t="s">
        <v>14</v>
      </c>
      <c r="F96" t="s">
        <v>269</v>
      </c>
      <c r="G96">
        <v>9</v>
      </c>
      <c r="H96">
        <v>8</v>
      </c>
      <c r="I96" t="s">
        <v>270</v>
      </c>
      <c r="J96" t="str">
        <f t="shared" si="1"/>
        <v>CC007_F</v>
      </c>
      <c r="K96" t="s">
        <v>468</v>
      </c>
    </row>
    <row r="97" spans="1:11" x14ac:dyDescent="0.2">
      <c r="A97">
        <v>80</v>
      </c>
      <c r="B97" t="s">
        <v>235</v>
      </c>
      <c r="C97" t="s">
        <v>236</v>
      </c>
      <c r="D97" s="1">
        <v>43239</v>
      </c>
      <c r="E97" t="s">
        <v>9</v>
      </c>
      <c r="F97" t="s">
        <v>271</v>
      </c>
      <c r="G97">
        <v>10</v>
      </c>
      <c r="H97">
        <v>8</v>
      </c>
      <c r="I97" t="s">
        <v>272</v>
      </c>
      <c r="J97" t="str">
        <f t="shared" si="1"/>
        <v>CC079_M</v>
      </c>
      <c r="K97" t="s">
        <v>469</v>
      </c>
    </row>
    <row r="98" spans="1:11" x14ac:dyDescent="0.2">
      <c r="B98" t="s">
        <v>49</v>
      </c>
      <c r="C98" t="s">
        <v>49</v>
      </c>
      <c r="D98" t="s">
        <v>49</v>
      </c>
      <c r="E98" t="s">
        <v>49</v>
      </c>
      <c r="F98" t="s">
        <v>49</v>
      </c>
      <c r="G98">
        <v>11</v>
      </c>
      <c r="H98">
        <v>8</v>
      </c>
      <c r="I98" t="s">
        <v>273</v>
      </c>
      <c r="J98" t="str">
        <f t="shared" si="1"/>
        <v xml:space="preserve">Bridge _Bridge </v>
      </c>
      <c r="K98" t="s">
        <v>390</v>
      </c>
    </row>
    <row r="100" spans="1:11" x14ac:dyDescent="0.2">
      <c r="A100">
        <v>81</v>
      </c>
      <c r="B100" t="s">
        <v>274</v>
      </c>
      <c r="C100" t="s">
        <v>275</v>
      </c>
      <c r="D100" s="1">
        <v>43247</v>
      </c>
      <c r="E100" t="s">
        <v>14</v>
      </c>
      <c r="F100" t="s">
        <v>276</v>
      </c>
      <c r="G100">
        <v>1</v>
      </c>
      <c r="H100">
        <v>9</v>
      </c>
      <c r="I100" t="s">
        <v>277</v>
      </c>
      <c r="J100" t="str">
        <f t="shared" si="1"/>
        <v>CC019_F</v>
      </c>
      <c r="K100" t="s">
        <v>470</v>
      </c>
    </row>
    <row r="101" spans="1:11" x14ac:dyDescent="0.2">
      <c r="A101">
        <v>82</v>
      </c>
      <c r="B101" t="s">
        <v>274</v>
      </c>
      <c r="C101" t="s">
        <v>275</v>
      </c>
      <c r="D101" s="1">
        <v>43247</v>
      </c>
      <c r="E101" t="s">
        <v>9</v>
      </c>
      <c r="F101" t="s">
        <v>278</v>
      </c>
      <c r="G101">
        <v>2</v>
      </c>
      <c r="H101">
        <v>9</v>
      </c>
      <c r="I101" t="s">
        <v>279</v>
      </c>
      <c r="J101" t="str">
        <f t="shared" si="1"/>
        <v>CC019_M</v>
      </c>
      <c r="K101" t="s">
        <v>471</v>
      </c>
    </row>
    <row r="102" spans="1:11" x14ac:dyDescent="0.2">
      <c r="A102">
        <v>83</v>
      </c>
      <c r="B102" t="s">
        <v>88</v>
      </c>
      <c r="C102" t="s">
        <v>89</v>
      </c>
      <c r="D102" s="1">
        <v>43242</v>
      </c>
      <c r="E102" t="s">
        <v>9</v>
      </c>
      <c r="F102" t="s">
        <v>280</v>
      </c>
      <c r="G102">
        <v>3</v>
      </c>
      <c r="H102">
        <v>9</v>
      </c>
      <c r="I102" t="s">
        <v>281</v>
      </c>
      <c r="J102" t="str">
        <f t="shared" si="1"/>
        <v>CC017_M</v>
      </c>
      <c r="K102" t="s">
        <v>472</v>
      </c>
    </row>
    <row r="103" spans="1:11" x14ac:dyDescent="0.2">
      <c r="A103">
        <v>84</v>
      </c>
      <c r="B103" t="s">
        <v>202</v>
      </c>
      <c r="C103" t="s">
        <v>203</v>
      </c>
      <c r="D103" s="1">
        <v>43246</v>
      </c>
      <c r="E103" t="s">
        <v>14</v>
      </c>
      <c r="F103" t="s">
        <v>282</v>
      </c>
      <c r="G103">
        <v>4</v>
      </c>
      <c r="H103">
        <v>9</v>
      </c>
      <c r="I103" t="s">
        <v>283</v>
      </c>
      <c r="J103" t="str">
        <f t="shared" si="1"/>
        <v>CC031_F</v>
      </c>
      <c r="K103" t="s">
        <v>473</v>
      </c>
    </row>
    <row r="104" spans="1:11" x14ac:dyDescent="0.2">
      <c r="A104">
        <v>85</v>
      </c>
      <c r="B104" t="s">
        <v>166</v>
      </c>
      <c r="C104" t="s">
        <v>167</v>
      </c>
      <c r="D104" s="1">
        <v>43263</v>
      </c>
      <c r="E104" t="s">
        <v>9</v>
      </c>
      <c r="F104" t="s">
        <v>284</v>
      </c>
      <c r="G104">
        <v>5</v>
      </c>
      <c r="H104">
        <v>9</v>
      </c>
      <c r="I104" t="s">
        <v>285</v>
      </c>
      <c r="J104" t="str">
        <f t="shared" si="1"/>
        <v>CC023_M</v>
      </c>
      <c r="K104" t="s">
        <v>474</v>
      </c>
    </row>
    <row r="105" spans="1:11" x14ac:dyDescent="0.2">
      <c r="A105">
        <v>86</v>
      </c>
      <c r="B105" t="s">
        <v>104</v>
      </c>
      <c r="C105" t="s">
        <v>105</v>
      </c>
      <c r="D105" s="1">
        <v>43261</v>
      </c>
      <c r="E105" t="s">
        <v>14</v>
      </c>
      <c r="F105" t="s">
        <v>286</v>
      </c>
      <c r="G105">
        <v>6</v>
      </c>
      <c r="H105">
        <v>9</v>
      </c>
      <c r="I105" t="s">
        <v>287</v>
      </c>
      <c r="J105" t="str">
        <f t="shared" si="1"/>
        <v>CC071_F</v>
      </c>
      <c r="K105" t="s">
        <v>475</v>
      </c>
    </row>
    <row r="106" spans="1:11" x14ac:dyDescent="0.2">
      <c r="A106">
        <v>87</v>
      </c>
      <c r="B106" t="s">
        <v>127</v>
      </c>
      <c r="C106" t="s">
        <v>128</v>
      </c>
      <c r="D106" s="1">
        <v>43242</v>
      </c>
      <c r="E106" t="s">
        <v>9</v>
      </c>
      <c r="F106" t="s">
        <v>288</v>
      </c>
      <c r="G106">
        <v>7</v>
      </c>
      <c r="H106">
        <v>9</v>
      </c>
      <c r="I106" t="s">
        <v>289</v>
      </c>
      <c r="J106" t="str">
        <f t="shared" si="1"/>
        <v>CC029_M</v>
      </c>
      <c r="K106" t="s">
        <v>476</v>
      </c>
    </row>
    <row r="107" spans="1:11" x14ac:dyDescent="0.2">
      <c r="A107">
        <v>88</v>
      </c>
      <c r="B107" t="s">
        <v>73</v>
      </c>
      <c r="C107" t="s">
        <v>74</v>
      </c>
      <c r="D107" s="1">
        <v>43247</v>
      </c>
      <c r="E107" t="s">
        <v>14</v>
      </c>
      <c r="F107" t="s">
        <v>290</v>
      </c>
      <c r="G107">
        <v>8</v>
      </c>
      <c r="H107">
        <v>9</v>
      </c>
      <c r="I107" t="s">
        <v>291</v>
      </c>
      <c r="J107" t="str">
        <f t="shared" si="1"/>
        <v>CC026_F</v>
      </c>
      <c r="K107" t="s">
        <v>477</v>
      </c>
    </row>
    <row r="108" spans="1:11" x14ac:dyDescent="0.2">
      <c r="A108">
        <v>89</v>
      </c>
      <c r="B108" t="s">
        <v>29</v>
      </c>
      <c r="C108" t="s">
        <v>30</v>
      </c>
      <c r="D108" s="1">
        <v>43249</v>
      </c>
      <c r="E108" t="s">
        <v>14</v>
      </c>
      <c r="F108" t="s">
        <v>292</v>
      </c>
      <c r="G108">
        <v>9</v>
      </c>
      <c r="H108">
        <v>9</v>
      </c>
      <c r="I108" t="s">
        <v>293</v>
      </c>
      <c r="J108" t="str">
        <f t="shared" si="1"/>
        <v>CC043_F</v>
      </c>
      <c r="K108" t="s">
        <v>478</v>
      </c>
    </row>
    <row r="109" spans="1:11" x14ac:dyDescent="0.2">
      <c r="A109">
        <v>90</v>
      </c>
      <c r="B109" t="s">
        <v>294</v>
      </c>
      <c r="C109" t="s">
        <v>295</v>
      </c>
      <c r="D109" s="1">
        <v>43242</v>
      </c>
      <c r="E109" t="s">
        <v>9</v>
      </c>
      <c r="F109" t="s">
        <v>296</v>
      </c>
      <c r="G109">
        <v>10</v>
      </c>
      <c r="H109">
        <v>9</v>
      </c>
      <c r="I109" t="s">
        <v>297</v>
      </c>
      <c r="J109" t="str">
        <f t="shared" si="1"/>
        <v>CC036_M</v>
      </c>
      <c r="K109" t="s">
        <v>479</v>
      </c>
    </row>
    <row r="110" spans="1:11" x14ac:dyDescent="0.2">
      <c r="B110" t="s">
        <v>49</v>
      </c>
      <c r="C110" t="s">
        <v>49</v>
      </c>
      <c r="D110" t="s">
        <v>49</v>
      </c>
      <c r="E110" t="s">
        <v>49</v>
      </c>
      <c r="F110" t="s">
        <v>49</v>
      </c>
      <c r="G110">
        <v>11</v>
      </c>
      <c r="H110">
        <v>9</v>
      </c>
      <c r="I110" t="s">
        <v>298</v>
      </c>
      <c r="J110" t="str">
        <f t="shared" si="1"/>
        <v xml:space="preserve">Bridge _Bridge </v>
      </c>
      <c r="K110" t="s">
        <v>390</v>
      </c>
    </row>
    <row r="112" spans="1:11" x14ac:dyDescent="0.2">
      <c r="A112">
        <v>91</v>
      </c>
      <c r="B112" t="s">
        <v>41</v>
      </c>
      <c r="C112" t="s">
        <v>42</v>
      </c>
      <c r="D112" s="1">
        <v>43248</v>
      </c>
      <c r="E112" t="s">
        <v>9</v>
      </c>
      <c r="F112" t="s">
        <v>299</v>
      </c>
      <c r="G112">
        <v>1</v>
      </c>
      <c r="H112">
        <v>10</v>
      </c>
      <c r="I112" t="s">
        <v>300</v>
      </c>
      <c r="J112" t="str">
        <f t="shared" si="1"/>
        <v>CC040_M</v>
      </c>
      <c r="K112" t="s">
        <v>480</v>
      </c>
    </row>
    <row r="113" spans="1:11" x14ac:dyDescent="0.2">
      <c r="A113">
        <v>92</v>
      </c>
      <c r="B113" t="s">
        <v>33</v>
      </c>
      <c r="C113" t="s">
        <v>34</v>
      </c>
      <c r="D113" s="1">
        <v>43246</v>
      </c>
      <c r="E113" t="s">
        <v>9</v>
      </c>
      <c r="F113" t="s">
        <v>301</v>
      </c>
      <c r="G113">
        <v>2</v>
      </c>
      <c r="H113">
        <v>10</v>
      </c>
      <c r="I113" t="s">
        <v>302</v>
      </c>
      <c r="J113" t="str">
        <f t="shared" si="1"/>
        <v>CC041_M</v>
      </c>
      <c r="K113" t="s">
        <v>481</v>
      </c>
    </row>
    <row r="114" spans="1:11" x14ac:dyDescent="0.2">
      <c r="A114">
        <v>93</v>
      </c>
      <c r="B114" t="s">
        <v>153</v>
      </c>
      <c r="C114" t="s">
        <v>154</v>
      </c>
      <c r="D114" s="1">
        <v>43247</v>
      </c>
      <c r="E114" t="s">
        <v>14</v>
      </c>
      <c r="F114" t="s">
        <v>303</v>
      </c>
      <c r="G114">
        <v>3</v>
      </c>
      <c r="H114">
        <v>10</v>
      </c>
      <c r="I114" t="s">
        <v>304</v>
      </c>
      <c r="J114" t="str">
        <f t="shared" si="1"/>
        <v>CC081_F</v>
      </c>
      <c r="K114" t="s">
        <v>482</v>
      </c>
    </row>
    <row r="115" spans="1:11" x14ac:dyDescent="0.2">
      <c r="A115">
        <v>94</v>
      </c>
      <c r="B115" t="s">
        <v>239</v>
      </c>
      <c r="C115" t="s">
        <v>240</v>
      </c>
      <c r="D115" s="1">
        <v>43252</v>
      </c>
      <c r="E115" t="s">
        <v>9</v>
      </c>
      <c r="F115" t="s">
        <v>305</v>
      </c>
      <c r="G115">
        <v>4</v>
      </c>
      <c r="H115">
        <v>10</v>
      </c>
      <c r="I115" t="s">
        <v>306</v>
      </c>
      <c r="J115" t="str">
        <f t="shared" si="1"/>
        <v>CC001_M</v>
      </c>
      <c r="K115" t="s">
        <v>483</v>
      </c>
    </row>
    <row r="116" spans="1:11" x14ac:dyDescent="0.2">
      <c r="A116">
        <v>16</v>
      </c>
      <c r="B116" t="s">
        <v>137</v>
      </c>
      <c r="C116" t="s">
        <v>138</v>
      </c>
      <c r="D116" s="1">
        <v>43248</v>
      </c>
      <c r="E116" t="s">
        <v>9</v>
      </c>
      <c r="F116" t="s">
        <v>307</v>
      </c>
      <c r="G116">
        <v>5</v>
      </c>
      <c r="H116">
        <v>10</v>
      </c>
      <c r="I116" t="s">
        <v>308</v>
      </c>
      <c r="J116" t="str">
        <f t="shared" si="1"/>
        <v>CC080_M</v>
      </c>
      <c r="K116" t="s">
        <v>484</v>
      </c>
    </row>
    <row r="117" spans="1:11" x14ac:dyDescent="0.2">
      <c r="A117">
        <v>96</v>
      </c>
      <c r="B117" t="s">
        <v>294</v>
      </c>
      <c r="C117" t="s">
        <v>295</v>
      </c>
      <c r="D117" s="1">
        <v>43254</v>
      </c>
      <c r="E117" t="s">
        <v>14</v>
      </c>
      <c r="F117" t="s">
        <v>309</v>
      </c>
      <c r="G117">
        <v>6</v>
      </c>
      <c r="H117">
        <v>10</v>
      </c>
      <c r="I117" t="s">
        <v>310</v>
      </c>
      <c r="J117" t="str">
        <f t="shared" si="1"/>
        <v>CC036_F</v>
      </c>
      <c r="K117" t="s">
        <v>485</v>
      </c>
    </row>
    <row r="118" spans="1:11" x14ac:dyDescent="0.2">
      <c r="A118">
        <v>97</v>
      </c>
      <c r="B118" t="s">
        <v>180</v>
      </c>
      <c r="C118" t="s">
        <v>181</v>
      </c>
      <c r="D118" s="1">
        <v>43254</v>
      </c>
      <c r="E118" t="s">
        <v>9</v>
      </c>
      <c r="F118" t="s">
        <v>311</v>
      </c>
      <c r="G118">
        <v>7</v>
      </c>
      <c r="H118">
        <v>10</v>
      </c>
      <c r="I118" t="s">
        <v>312</v>
      </c>
      <c r="J118" t="str">
        <f t="shared" si="1"/>
        <v>CC030_M</v>
      </c>
      <c r="K118" t="s">
        <v>486</v>
      </c>
    </row>
    <row r="119" spans="1:11" x14ac:dyDescent="0.2">
      <c r="A119">
        <v>98</v>
      </c>
      <c r="B119" t="s">
        <v>249</v>
      </c>
      <c r="C119" t="s">
        <v>250</v>
      </c>
      <c r="D119" s="1">
        <v>43250</v>
      </c>
      <c r="E119" t="s">
        <v>14</v>
      </c>
      <c r="F119" t="s">
        <v>313</v>
      </c>
      <c r="G119">
        <v>8</v>
      </c>
      <c r="H119">
        <v>10</v>
      </c>
      <c r="I119" t="s">
        <v>314</v>
      </c>
      <c r="J119" t="str">
        <f t="shared" si="1"/>
        <v>CC027_F</v>
      </c>
      <c r="K119" t="s">
        <v>487</v>
      </c>
    </row>
    <row r="120" spans="1:11" x14ac:dyDescent="0.2">
      <c r="A120">
        <v>99</v>
      </c>
      <c r="B120" t="s">
        <v>65</v>
      </c>
      <c r="C120" t="s">
        <v>66</v>
      </c>
      <c r="D120" s="1">
        <v>43243</v>
      </c>
      <c r="E120" t="s">
        <v>9</v>
      </c>
      <c r="F120" t="s">
        <v>315</v>
      </c>
      <c r="G120">
        <v>9</v>
      </c>
      <c r="H120">
        <v>10</v>
      </c>
      <c r="I120" t="s">
        <v>316</v>
      </c>
      <c r="J120" t="str">
        <f t="shared" si="1"/>
        <v>CC032_M</v>
      </c>
      <c r="K120" t="s">
        <v>488</v>
      </c>
    </row>
    <row r="121" spans="1:11" x14ac:dyDescent="0.2">
      <c r="A121">
        <v>100</v>
      </c>
      <c r="B121" t="s">
        <v>133</v>
      </c>
      <c r="C121" t="s">
        <v>134</v>
      </c>
      <c r="D121" s="1">
        <v>43234</v>
      </c>
      <c r="E121" t="s">
        <v>9</v>
      </c>
      <c r="F121" t="s">
        <v>317</v>
      </c>
      <c r="G121">
        <v>10</v>
      </c>
      <c r="H121">
        <v>10</v>
      </c>
      <c r="I121" t="s">
        <v>318</v>
      </c>
      <c r="J121" t="str">
        <f t="shared" si="1"/>
        <v>CC024_M</v>
      </c>
      <c r="K121" t="s">
        <v>489</v>
      </c>
    </row>
    <row r="122" spans="1:11" x14ac:dyDescent="0.2">
      <c r="B122" t="s">
        <v>49</v>
      </c>
      <c r="C122" t="s">
        <v>49</v>
      </c>
      <c r="D122" t="s">
        <v>49</v>
      </c>
      <c r="E122" t="s">
        <v>49</v>
      </c>
      <c r="F122" t="s">
        <v>49</v>
      </c>
      <c r="G122">
        <v>11</v>
      </c>
      <c r="H122">
        <v>10</v>
      </c>
      <c r="I122" t="s">
        <v>319</v>
      </c>
      <c r="J122" t="str">
        <f t="shared" si="1"/>
        <v xml:space="preserve">Bridge _Bridge </v>
      </c>
      <c r="K122" t="s">
        <v>390</v>
      </c>
    </row>
    <row r="124" spans="1:11" x14ac:dyDescent="0.2">
      <c r="A124">
        <v>101</v>
      </c>
      <c r="B124" t="s">
        <v>320</v>
      </c>
      <c r="C124" t="s">
        <v>321</v>
      </c>
      <c r="E124" t="s">
        <v>14</v>
      </c>
      <c r="F124" t="s">
        <v>322</v>
      </c>
      <c r="G124">
        <v>1</v>
      </c>
      <c r="H124">
        <v>11</v>
      </c>
      <c r="I124" t="s">
        <v>323</v>
      </c>
      <c r="J124" t="str">
        <f t="shared" si="1"/>
        <v>CC010_F</v>
      </c>
      <c r="K124" t="s">
        <v>490</v>
      </c>
    </row>
    <row r="125" spans="1:11" x14ac:dyDescent="0.2">
      <c r="A125">
        <v>102</v>
      </c>
      <c r="B125" t="s">
        <v>324</v>
      </c>
      <c r="C125" t="s">
        <v>325</v>
      </c>
      <c r="E125" t="s">
        <v>9</v>
      </c>
      <c r="F125" t="s">
        <v>326</v>
      </c>
      <c r="G125">
        <v>2</v>
      </c>
      <c r="H125">
        <v>11</v>
      </c>
      <c r="I125" t="s">
        <v>327</v>
      </c>
      <c r="J125" t="str">
        <f t="shared" si="1"/>
        <v>CC061_M</v>
      </c>
      <c r="K125" t="s">
        <v>491</v>
      </c>
    </row>
    <row r="126" spans="1:11" x14ac:dyDescent="0.2">
      <c r="A126">
        <v>103</v>
      </c>
      <c r="B126" t="s">
        <v>328</v>
      </c>
      <c r="C126" t="s">
        <v>329</v>
      </c>
      <c r="E126" t="s">
        <v>14</v>
      </c>
      <c r="F126" t="s">
        <v>330</v>
      </c>
      <c r="G126">
        <v>3</v>
      </c>
      <c r="H126">
        <v>11</v>
      </c>
      <c r="I126" t="s">
        <v>331</v>
      </c>
      <c r="J126" t="str">
        <f t="shared" si="1"/>
        <v>CC009_F</v>
      </c>
      <c r="K126" t="s">
        <v>492</v>
      </c>
    </row>
    <row r="127" spans="1:11" x14ac:dyDescent="0.2">
      <c r="A127">
        <v>104</v>
      </c>
      <c r="B127" t="s">
        <v>332</v>
      </c>
      <c r="C127" t="s">
        <v>333</v>
      </c>
      <c r="E127" t="s">
        <v>9</v>
      </c>
      <c r="F127" t="s">
        <v>334</v>
      </c>
      <c r="G127">
        <v>4</v>
      </c>
      <c r="H127">
        <v>11</v>
      </c>
      <c r="I127" t="s">
        <v>335</v>
      </c>
      <c r="J127" t="str">
        <f t="shared" si="1"/>
        <v>CC051_M</v>
      </c>
      <c r="K127" t="s">
        <v>493</v>
      </c>
    </row>
    <row r="128" spans="1:11" x14ac:dyDescent="0.2">
      <c r="A128">
        <v>105</v>
      </c>
      <c r="B128" t="s">
        <v>336</v>
      </c>
      <c r="C128" t="s">
        <v>337</v>
      </c>
      <c r="E128" t="s">
        <v>14</v>
      </c>
      <c r="F128" t="s">
        <v>338</v>
      </c>
      <c r="G128">
        <v>5</v>
      </c>
      <c r="H128">
        <v>11</v>
      </c>
      <c r="I128" t="s">
        <v>339</v>
      </c>
      <c r="J128" t="str">
        <f t="shared" si="1"/>
        <v>CC006_F</v>
      </c>
      <c r="K128" t="s">
        <v>494</v>
      </c>
    </row>
    <row r="129" spans="1:11" x14ac:dyDescent="0.2">
      <c r="A129">
        <v>106</v>
      </c>
      <c r="B129" t="s">
        <v>340</v>
      </c>
      <c r="C129" t="s">
        <v>341</v>
      </c>
      <c r="E129" t="s">
        <v>9</v>
      </c>
      <c r="F129" t="s">
        <v>342</v>
      </c>
      <c r="G129">
        <v>6</v>
      </c>
      <c r="H129">
        <v>11</v>
      </c>
      <c r="I129" t="s">
        <v>343</v>
      </c>
      <c r="J129" t="str">
        <f t="shared" si="1"/>
        <v>CC053_M</v>
      </c>
      <c r="K129" t="s">
        <v>495</v>
      </c>
    </row>
    <row r="130" spans="1:11" x14ac:dyDescent="0.2">
      <c r="A130">
        <v>107</v>
      </c>
      <c r="B130" t="s">
        <v>344</v>
      </c>
      <c r="C130" t="s">
        <v>97</v>
      </c>
      <c r="E130" t="s">
        <v>14</v>
      </c>
      <c r="F130" t="s">
        <v>345</v>
      </c>
      <c r="G130">
        <v>7</v>
      </c>
      <c r="H130">
        <v>11</v>
      </c>
      <c r="I130" t="s">
        <v>346</v>
      </c>
      <c r="J130" t="str">
        <f t="shared" si="1"/>
        <v>CC003_F</v>
      </c>
      <c r="K130" t="s">
        <v>496</v>
      </c>
    </row>
    <row r="131" spans="1:11" x14ac:dyDescent="0.2">
      <c r="A131">
        <v>108</v>
      </c>
      <c r="B131" t="s">
        <v>347</v>
      </c>
      <c r="C131" t="s">
        <v>348</v>
      </c>
      <c r="E131" t="s">
        <v>9</v>
      </c>
      <c r="F131" t="s">
        <v>349</v>
      </c>
      <c r="G131">
        <v>8</v>
      </c>
      <c r="H131">
        <v>11</v>
      </c>
      <c r="I131" t="s">
        <v>350</v>
      </c>
      <c r="J131" t="str">
        <f t="shared" si="1"/>
        <v>CC035_M</v>
      </c>
      <c r="K131" t="s">
        <v>497</v>
      </c>
    </row>
    <row r="132" spans="1:11" x14ac:dyDescent="0.2">
      <c r="A132">
        <v>109</v>
      </c>
      <c r="B132" t="s">
        <v>351</v>
      </c>
      <c r="C132" t="s">
        <v>352</v>
      </c>
      <c r="E132" t="s">
        <v>14</v>
      </c>
      <c r="F132" t="s">
        <v>353</v>
      </c>
      <c r="G132">
        <v>9</v>
      </c>
      <c r="H132">
        <v>11</v>
      </c>
      <c r="I132" t="s">
        <v>354</v>
      </c>
      <c r="J132" t="str">
        <f t="shared" si="1"/>
        <v>CC075_F</v>
      </c>
      <c r="K132" t="s">
        <v>498</v>
      </c>
    </row>
    <row r="133" spans="1:11" x14ac:dyDescent="0.2">
      <c r="A133">
        <v>110</v>
      </c>
      <c r="B133" t="s">
        <v>180</v>
      </c>
      <c r="C133" t="s">
        <v>181</v>
      </c>
      <c r="D133" s="1">
        <v>43254</v>
      </c>
      <c r="E133" t="s">
        <v>9</v>
      </c>
      <c r="F133" t="s">
        <v>311</v>
      </c>
      <c r="G133">
        <v>10</v>
      </c>
      <c r="H133">
        <v>12</v>
      </c>
      <c r="I133" t="s">
        <v>355</v>
      </c>
      <c r="J133" t="str">
        <f t="shared" si="1"/>
        <v>CC030_M</v>
      </c>
      <c r="K133" t="s">
        <v>486</v>
      </c>
    </row>
    <row r="134" spans="1:11" x14ac:dyDescent="0.2">
      <c r="B134" t="s">
        <v>49</v>
      </c>
      <c r="C134" t="s">
        <v>49</v>
      </c>
      <c r="D134" t="s">
        <v>49</v>
      </c>
      <c r="E134" t="s">
        <v>49</v>
      </c>
      <c r="F134" t="s">
        <v>49</v>
      </c>
      <c r="G134">
        <v>11</v>
      </c>
      <c r="H134">
        <v>11</v>
      </c>
      <c r="I134" t="s">
        <v>356</v>
      </c>
      <c r="J134" t="str">
        <f t="shared" si="1"/>
        <v xml:space="preserve">Bridge _Bridge </v>
      </c>
      <c r="K134" t="s">
        <v>390</v>
      </c>
    </row>
    <row r="136" spans="1:11" x14ac:dyDescent="0.2">
      <c r="A136">
        <v>111</v>
      </c>
      <c r="B136" t="s">
        <v>357</v>
      </c>
      <c r="C136" t="s">
        <v>329</v>
      </c>
      <c r="E136" t="s">
        <v>9</v>
      </c>
      <c r="F136" t="s">
        <v>358</v>
      </c>
      <c r="G136">
        <v>1</v>
      </c>
      <c r="H136">
        <v>12</v>
      </c>
      <c r="I136" t="s">
        <v>359</v>
      </c>
      <c r="J136" t="str">
        <f t="shared" si="1"/>
        <v>CC009_M</v>
      </c>
      <c r="K136" t="s">
        <v>499</v>
      </c>
    </row>
    <row r="137" spans="1:11" x14ac:dyDescent="0.2">
      <c r="A137">
        <v>112</v>
      </c>
      <c r="B137" t="s">
        <v>360</v>
      </c>
      <c r="C137" t="s">
        <v>333</v>
      </c>
      <c r="E137" t="s">
        <v>14</v>
      </c>
      <c r="F137" t="s">
        <v>361</v>
      </c>
      <c r="G137">
        <v>2</v>
      </c>
      <c r="H137">
        <v>12</v>
      </c>
      <c r="I137" t="s">
        <v>362</v>
      </c>
      <c r="J137" t="str">
        <f t="shared" si="1"/>
        <v>CC051_F</v>
      </c>
      <c r="K137" t="s">
        <v>500</v>
      </c>
    </row>
    <row r="138" spans="1:11" x14ac:dyDescent="0.2">
      <c r="A138">
        <v>113</v>
      </c>
      <c r="B138" t="s">
        <v>363</v>
      </c>
      <c r="C138" t="s">
        <v>337</v>
      </c>
      <c r="E138" t="s">
        <v>9</v>
      </c>
      <c r="F138" t="s">
        <v>364</v>
      </c>
      <c r="G138">
        <v>3</v>
      </c>
      <c r="H138">
        <v>12</v>
      </c>
      <c r="I138" t="s">
        <v>365</v>
      </c>
      <c r="J138" t="str">
        <f t="shared" si="1"/>
        <v>CC006_M</v>
      </c>
      <c r="K138" t="s">
        <v>501</v>
      </c>
    </row>
    <row r="139" spans="1:11" x14ac:dyDescent="0.2">
      <c r="A139">
        <v>114</v>
      </c>
      <c r="B139" t="s">
        <v>366</v>
      </c>
      <c r="C139" t="s">
        <v>325</v>
      </c>
      <c r="E139" t="s">
        <v>14</v>
      </c>
      <c r="F139" t="s">
        <v>367</v>
      </c>
      <c r="G139">
        <v>4</v>
      </c>
      <c r="H139">
        <v>12</v>
      </c>
      <c r="I139" t="s">
        <v>368</v>
      </c>
      <c r="J139" t="str">
        <f t="shared" si="1"/>
        <v>CC061_F</v>
      </c>
      <c r="K139" t="s">
        <v>502</v>
      </c>
    </row>
    <row r="140" spans="1:11" x14ac:dyDescent="0.2">
      <c r="A140">
        <v>115</v>
      </c>
      <c r="B140" t="s">
        <v>369</v>
      </c>
      <c r="C140" t="s">
        <v>97</v>
      </c>
      <c r="E140" t="s">
        <v>9</v>
      </c>
      <c r="F140" t="s">
        <v>370</v>
      </c>
      <c r="G140">
        <v>5</v>
      </c>
      <c r="H140">
        <v>12</v>
      </c>
      <c r="I140" t="s">
        <v>371</v>
      </c>
      <c r="J140" t="str">
        <f t="shared" si="1"/>
        <v>CC003_M</v>
      </c>
      <c r="K140" t="s">
        <v>413</v>
      </c>
    </row>
    <row r="141" spans="1:11" x14ac:dyDescent="0.2">
      <c r="A141">
        <v>116</v>
      </c>
      <c r="B141" t="s">
        <v>372</v>
      </c>
      <c r="C141" t="s">
        <v>348</v>
      </c>
      <c r="E141" t="s">
        <v>14</v>
      </c>
      <c r="F141" t="s">
        <v>373</v>
      </c>
      <c r="G141">
        <v>6</v>
      </c>
      <c r="H141">
        <v>12</v>
      </c>
      <c r="I141" t="s">
        <v>374</v>
      </c>
      <c r="J141" t="str">
        <f t="shared" si="1"/>
        <v>CC035_F</v>
      </c>
      <c r="K141" t="s">
        <v>503</v>
      </c>
    </row>
    <row r="142" spans="1:11" x14ac:dyDescent="0.2">
      <c r="A142">
        <v>117</v>
      </c>
      <c r="B142" t="s">
        <v>375</v>
      </c>
      <c r="C142" t="s">
        <v>321</v>
      </c>
      <c r="E142" t="s">
        <v>9</v>
      </c>
      <c r="F142" t="s">
        <v>376</v>
      </c>
      <c r="G142">
        <v>7</v>
      </c>
      <c r="H142">
        <v>12</v>
      </c>
      <c r="I142" t="s">
        <v>377</v>
      </c>
      <c r="J142" t="str">
        <f t="shared" si="1"/>
        <v>CC010_M</v>
      </c>
      <c r="K142" t="s">
        <v>504</v>
      </c>
    </row>
    <row r="143" spans="1:11" x14ac:dyDescent="0.2">
      <c r="A143">
        <v>118</v>
      </c>
      <c r="B143" t="s">
        <v>378</v>
      </c>
      <c r="C143" t="s">
        <v>341</v>
      </c>
      <c r="E143" t="s">
        <v>14</v>
      </c>
      <c r="F143" t="s">
        <v>379</v>
      </c>
      <c r="G143">
        <v>8</v>
      </c>
      <c r="H143">
        <v>12</v>
      </c>
      <c r="I143" t="s">
        <v>380</v>
      </c>
      <c r="J143" t="str">
        <f t="shared" si="1"/>
        <v>CC053_F</v>
      </c>
      <c r="K143" t="s">
        <v>505</v>
      </c>
    </row>
    <row r="144" spans="1:11" x14ac:dyDescent="0.2">
      <c r="A144">
        <v>119</v>
      </c>
      <c r="B144" t="s">
        <v>381</v>
      </c>
      <c r="C144" t="s">
        <v>352</v>
      </c>
      <c r="E144" t="s">
        <v>9</v>
      </c>
      <c r="F144" t="s">
        <v>382</v>
      </c>
      <c r="G144">
        <v>9</v>
      </c>
      <c r="H144">
        <v>12</v>
      </c>
      <c r="I144" t="s">
        <v>383</v>
      </c>
      <c r="J144" t="str">
        <f t="shared" ref="J144:J146" si="2">_xlfn.TEXTJOIN("_", FALSE, C144,E144)</f>
        <v>CC075_M</v>
      </c>
      <c r="K144" t="s">
        <v>506</v>
      </c>
    </row>
    <row r="145" spans="1:11" x14ac:dyDescent="0.2">
      <c r="A145">
        <v>120</v>
      </c>
      <c r="B145" t="s">
        <v>166</v>
      </c>
      <c r="C145" t="s">
        <v>167</v>
      </c>
      <c r="E145" t="s">
        <v>14</v>
      </c>
      <c r="F145" t="s">
        <v>168</v>
      </c>
      <c r="G145">
        <v>10</v>
      </c>
      <c r="H145">
        <v>11</v>
      </c>
      <c r="I145" t="s">
        <v>384</v>
      </c>
      <c r="J145" t="str">
        <f t="shared" si="2"/>
        <v>CC023_F</v>
      </c>
      <c r="K145" t="s">
        <v>432</v>
      </c>
    </row>
    <row r="146" spans="1:11" x14ac:dyDescent="0.2">
      <c r="B146" t="s">
        <v>49</v>
      </c>
      <c r="C146" t="s">
        <v>49</v>
      </c>
      <c r="D146" t="s">
        <v>49</v>
      </c>
      <c r="E146" t="s">
        <v>49</v>
      </c>
      <c r="F146" t="s">
        <v>49</v>
      </c>
      <c r="G146">
        <v>11</v>
      </c>
      <c r="H146">
        <v>12</v>
      </c>
      <c r="I146" t="s">
        <v>385</v>
      </c>
      <c r="J146" t="str">
        <f t="shared" si="2"/>
        <v xml:space="preserve">Bridge _Bridge </v>
      </c>
      <c r="K146" t="s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9117-5009-5B4B-8795-12E170F00F18}">
  <dimension ref="A1:H173"/>
  <sheetViews>
    <sheetView tabSelected="1" workbookViewId="0">
      <selection activeCell="L13" sqref="L13"/>
    </sheetView>
  </sheetViews>
  <sheetFormatPr baseColWidth="10" defaultRowHeight="16" x14ac:dyDescent="0.2"/>
  <cols>
    <col min="1" max="1" width="16.33203125" customWidth="1"/>
    <col min="4" max="4" width="11.5" customWidth="1"/>
    <col min="5" max="5" width="11.83203125" customWidth="1"/>
    <col min="6" max="6" width="13.6640625" bestFit="1" customWidth="1"/>
    <col min="7" max="8" width="14.33203125" customWidth="1"/>
  </cols>
  <sheetData>
    <row r="1" spans="1:8" x14ac:dyDescent="0.2">
      <c r="A1" s="4" t="s">
        <v>517</v>
      </c>
    </row>
    <row r="5" spans="1:8" x14ac:dyDescent="0.2">
      <c r="A5" s="16" t="s">
        <v>507</v>
      </c>
      <c r="B5" s="4" t="s">
        <v>508</v>
      </c>
      <c r="C5" s="4" t="s">
        <v>510</v>
      </c>
      <c r="D5" s="4" t="s">
        <v>509</v>
      </c>
      <c r="E5" s="4" t="s">
        <v>510</v>
      </c>
      <c r="F5" s="4" t="s">
        <v>511</v>
      </c>
      <c r="G5" s="4" t="s">
        <v>666</v>
      </c>
      <c r="H5" s="4" t="s">
        <v>667</v>
      </c>
    </row>
    <row r="6" spans="1:8" x14ac:dyDescent="0.2">
      <c r="A6" s="14" t="s">
        <v>512</v>
      </c>
      <c r="B6" s="2">
        <v>4140389</v>
      </c>
      <c r="D6" s="2">
        <v>1093452</v>
      </c>
      <c r="F6" s="3">
        <f>D6/B6</f>
        <v>0.26409402594780346</v>
      </c>
      <c r="G6" s="2">
        <v>7945</v>
      </c>
      <c r="H6" s="2">
        <v>5223</v>
      </c>
    </row>
    <row r="7" spans="1:8" x14ac:dyDescent="0.2">
      <c r="A7" s="14" t="s">
        <v>513</v>
      </c>
      <c r="B7" s="2">
        <v>1705470</v>
      </c>
      <c r="C7" s="3">
        <f>B7/B$6</f>
        <v>0.41191057168782935</v>
      </c>
      <c r="D7" s="2">
        <v>376562</v>
      </c>
      <c r="E7" s="3">
        <f>D7/D$6</f>
        <v>0.34437908568460252</v>
      </c>
      <c r="F7" s="3">
        <f t="shared" ref="F7:F9" si="0">D7/B7</f>
        <v>0.22079661325030636</v>
      </c>
    </row>
    <row r="8" spans="1:8" x14ac:dyDescent="0.2">
      <c r="A8" s="14" t="s">
        <v>514</v>
      </c>
      <c r="B8" s="2">
        <v>1882280</v>
      </c>
      <c r="C8" s="3">
        <f t="shared" ref="C8:E10" si="1">B8/B$6</f>
        <v>0.45461428865741843</v>
      </c>
      <c r="D8" s="2">
        <v>634138</v>
      </c>
      <c r="E8" s="3">
        <f t="shared" si="1"/>
        <v>0.579941323441724</v>
      </c>
      <c r="F8" s="3">
        <f t="shared" si="0"/>
        <v>0.33689886733110908</v>
      </c>
    </row>
    <row r="9" spans="1:8" x14ac:dyDescent="0.2">
      <c r="A9" s="14" t="s">
        <v>515</v>
      </c>
      <c r="B9" s="2">
        <v>438618</v>
      </c>
      <c r="C9" s="3">
        <f t="shared" si="1"/>
        <v>0.10593642288200457</v>
      </c>
      <c r="D9" s="2">
        <v>82752</v>
      </c>
      <c r="E9" s="3">
        <f t="shared" si="1"/>
        <v>7.5679590873673472E-2</v>
      </c>
      <c r="F9" s="3">
        <f t="shared" si="0"/>
        <v>0.18866530785330288</v>
      </c>
    </row>
    <row r="10" spans="1:8" x14ac:dyDescent="0.2">
      <c r="A10" s="14" t="s">
        <v>516</v>
      </c>
      <c r="B10" s="2">
        <v>114021</v>
      </c>
      <c r="C10" s="3">
        <f t="shared" si="1"/>
        <v>2.7538716772747683E-2</v>
      </c>
      <c r="D10" s="2"/>
    </row>
    <row r="12" spans="1:8" x14ac:dyDescent="0.2">
      <c r="A12" s="16" t="s">
        <v>663</v>
      </c>
      <c r="B12" s="4" t="s">
        <v>508</v>
      </c>
      <c r="C12" s="4" t="s">
        <v>509</v>
      </c>
      <c r="D12" s="4" t="s">
        <v>511</v>
      </c>
      <c r="E12" s="4" t="s">
        <v>665</v>
      </c>
      <c r="F12" s="4" t="s">
        <v>668</v>
      </c>
      <c r="G12" s="4" t="s">
        <v>669</v>
      </c>
      <c r="H12" s="4" t="s">
        <v>672</v>
      </c>
    </row>
    <row r="13" spans="1:8" x14ac:dyDescent="0.2">
      <c r="A13" s="14">
        <v>1</v>
      </c>
      <c r="B13" s="2">
        <v>329193</v>
      </c>
      <c r="C13" s="2">
        <v>88746</v>
      </c>
      <c r="D13" s="3">
        <f>C13/B13</f>
        <v>0.26958653434307533</v>
      </c>
      <c r="E13" s="2">
        <v>6013</v>
      </c>
      <c r="F13" s="2">
        <v>14359913034.193624</v>
      </c>
      <c r="G13" s="2">
        <v>14211865146.401423</v>
      </c>
      <c r="H13" s="9">
        <f>G13/F13</f>
        <v>0.98969019607293773</v>
      </c>
    </row>
    <row r="14" spans="1:8" x14ac:dyDescent="0.2">
      <c r="A14" s="14">
        <v>2</v>
      </c>
      <c r="B14" s="2">
        <v>325504</v>
      </c>
      <c r="C14" s="2">
        <v>92130</v>
      </c>
      <c r="D14" s="3">
        <f t="shared" ref="D14:D25" si="2">C14/B14</f>
        <v>0.28303799646087296</v>
      </c>
      <c r="E14" s="2">
        <v>6039</v>
      </c>
      <c r="F14" s="2">
        <v>12943445357.828602</v>
      </c>
      <c r="G14" s="2">
        <v>12820207938.437946</v>
      </c>
      <c r="H14" s="9">
        <f t="shared" ref="H14:H25" si="3">G14/F14</f>
        <v>0.99047877779187155</v>
      </c>
    </row>
    <row r="15" spans="1:8" x14ac:dyDescent="0.2">
      <c r="A15" s="14">
        <v>3</v>
      </c>
      <c r="B15" s="2">
        <v>316404</v>
      </c>
      <c r="C15" s="2">
        <v>87807</v>
      </c>
      <c r="D15" s="3">
        <f t="shared" si="2"/>
        <v>0.27751545492471652</v>
      </c>
      <c r="E15" s="2">
        <v>5923</v>
      </c>
      <c r="F15" s="2">
        <v>12006740013.702604</v>
      </c>
      <c r="G15" s="2">
        <v>11877916265.002073</v>
      </c>
      <c r="H15" s="9">
        <f t="shared" si="3"/>
        <v>0.98927071390289856</v>
      </c>
    </row>
    <row r="16" spans="1:8" x14ac:dyDescent="0.2">
      <c r="A16" s="14">
        <v>4</v>
      </c>
      <c r="B16" s="2">
        <v>318916</v>
      </c>
      <c r="C16" s="2">
        <v>86610</v>
      </c>
      <c r="D16" s="3">
        <f t="shared" si="2"/>
        <v>0.27157621442636931</v>
      </c>
      <c r="E16" s="2">
        <v>5887</v>
      </c>
      <c r="F16" s="2">
        <v>12916587566.502838</v>
      </c>
      <c r="G16" s="2">
        <v>12785647199.237329</v>
      </c>
      <c r="H16" s="9">
        <f t="shared" si="3"/>
        <v>0.9898626191638199</v>
      </c>
    </row>
    <row r="17" spans="1:8" x14ac:dyDescent="0.2">
      <c r="A17" s="14">
        <v>5</v>
      </c>
      <c r="B17" s="2">
        <v>352024</v>
      </c>
      <c r="C17" s="2">
        <v>92508</v>
      </c>
      <c r="D17" s="3">
        <f t="shared" si="2"/>
        <v>0.26278890075676659</v>
      </c>
      <c r="E17" s="2">
        <v>6029</v>
      </c>
      <c r="F17" s="2">
        <v>14630150332.23464</v>
      </c>
      <c r="G17" s="2">
        <v>14452714029.170313</v>
      </c>
      <c r="H17" s="9">
        <f t="shared" si="3"/>
        <v>0.98787187424360356</v>
      </c>
    </row>
    <row r="18" spans="1:8" x14ac:dyDescent="0.2">
      <c r="A18" s="14">
        <v>6</v>
      </c>
      <c r="B18" s="2">
        <v>345618</v>
      </c>
      <c r="C18" s="2">
        <v>98715</v>
      </c>
      <c r="D18" s="3">
        <f t="shared" si="2"/>
        <v>0.28561880457615052</v>
      </c>
      <c r="E18" s="2">
        <v>6310</v>
      </c>
      <c r="F18" s="8">
        <v>20237254002.44688</v>
      </c>
      <c r="G18" s="2">
        <v>19996068607.502445</v>
      </c>
      <c r="H18" s="9">
        <f t="shared" si="3"/>
        <v>0.98808210862425938</v>
      </c>
    </row>
    <row r="19" spans="1:8" x14ac:dyDescent="0.2">
      <c r="A19" s="14">
        <v>7</v>
      </c>
      <c r="B19" s="2">
        <v>344427</v>
      </c>
      <c r="C19" s="2">
        <v>97141</v>
      </c>
      <c r="D19" s="3">
        <f t="shared" si="2"/>
        <v>0.2820365418506679</v>
      </c>
      <c r="E19" s="2">
        <v>6444</v>
      </c>
      <c r="F19" s="2">
        <v>16096409348.101704</v>
      </c>
      <c r="G19" s="2">
        <v>15903956771.315994</v>
      </c>
      <c r="H19" s="9">
        <f t="shared" si="3"/>
        <v>0.98804375729867944</v>
      </c>
    </row>
    <row r="20" spans="1:8" x14ac:dyDescent="0.2">
      <c r="A20" s="14">
        <v>8</v>
      </c>
      <c r="B20" s="2">
        <v>346804</v>
      </c>
      <c r="C20" s="2">
        <v>95873</v>
      </c>
      <c r="D20" s="3">
        <f t="shared" si="2"/>
        <v>0.27644721514169385</v>
      </c>
      <c r="E20" s="2">
        <v>6307</v>
      </c>
      <c r="F20" s="2">
        <v>16929077239.978586</v>
      </c>
      <c r="G20" s="2">
        <v>16731189463.080818</v>
      </c>
      <c r="H20" s="9">
        <f t="shared" si="3"/>
        <v>0.98831077594528016</v>
      </c>
    </row>
    <row r="21" spans="1:8" x14ac:dyDescent="0.2">
      <c r="A21" s="14">
        <v>9</v>
      </c>
      <c r="B21" s="2">
        <v>341929</v>
      </c>
      <c r="C21" s="2">
        <v>92274</v>
      </c>
      <c r="D21" s="3">
        <f t="shared" si="2"/>
        <v>0.26986304174258396</v>
      </c>
      <c r="E21" s="2">
        <v>6159</v>
      </c>
      <c r="F21" s="2">
        <v>13831188701.934553</v>
      </c>
      <c r="G21" s="2">
        <v>13678647217.861887</v>
      </c>
      <c r="H21" s="9">
        <f t="shared" si="3"/>
        <v>0.98897119493053187</v>
      </c>
    </row>
    <row r="22" spans="1:8" x14ac:dyDescent="0.2">
      <c r="A22" s="14">
        <v>10</v>
      </c>
      <c r="B22" s="2">
        <v>349846</v>
      </c>
      <c r="C22" s="2">
        <v>88879</v>
      </c>
      <c r="D22" s="3">
        <f t="shared" si="2"/>
        <v>0.25405178278442514</v>
      </c>
      <c r="E22" s="2">
        <v>6079</v>
      </c>
      <c r="F22" s="2">
        <v>14722872460.878792</v>
      </c>
      <c r="G22" s="2">
        <v>14548178150.999325</v>
      </c>
      <c r="H22" s="9">
        <f t="shared" si="3"/>
        <v>0.98813449546997978</v>
      </c>
    </row>
    <row r="23" spans="1:8" x14ac:dyDescent="0.2">
      <c r="A23" s="14">
        <v>11</v>
      </c>
      <c r="B23" s="2">
        <v>383206</v>
      </c>
      <c r="C23" s="2">
        <v>82819</v>
      </c>
      <c r="D23" s="3">
        <f t="shared" si="2"/>
        <v>0.216121355093605</v>
      </c>
      <c r="E23" s="2">
        <v>6243</v>
      </c>
      <c r="F23" s="2">
        <v>12258077440.128254</v>
      </c>
      <c r="G23" s="2">
        <v>12036821527.334515</v>
      </c>
      <c r="H23" s="9">
        <f t="shared" si="3"/>
        <v>0.98195019456563126</v>
      </c>
    </row>
    <row r="24" spans="1:8" ht="17" thickBot="1" x14ac:dyDescent="0.25">
      <c r="A24" s="15">
        <v>12</v>
      </c>
      <c r="B24" s="10">
        <v>386518</v>
      </c>
      <c r="C24" s="10">
        <v>89950</v>
      </c>
      <c r="D24" s="11">
        <f t="shared" si="2"/>
        <v>0.23271878670592314</v>
      </c>
      <c r="E24" s="10">
        <v>6297</v>
      </c>
      <c r="F24" s="12">
        <v>10079190318.712568</v>
      </c>
      <c r="G24" s="10">
        <v>9924468543.299242</v>
      </c>
      <c r="H24" s="13">
        <f t="shared" si="3"/>
        <v>0.98464938447227479</v>
      </c>
    </row>
    <row r="25" spans="1:8" ht="17" thickTop="1" x14ac:dyDescent="0.2">
      <c r="A25" s="4" t="s">
        <v>670</v>
      </c>
      <c r="B25" s="2">
        <f>AVERAGE(B13:B24)</f>
        <v>345032.41666666669</v>
      </c>
      <c r="C25" s="2">
        <f>AVERAGE(C13:C24)</f>
        <v>91121</v>
      </c>
      <c r="D25" s="3">
        <f t="shared" si="2"/>
        <v>0.26409402594780346</v>
      </c>
      <c r="E25" s="2">
        <f>AVERAGE(E13:E24)</f>
        <v>6144.166666666667</v>
      </c>
      <c r="F25" s="2">
        <f>AVERAGE(F13:F24)</f>
        <v>14250908818.053637</v>
      </c>
      <c r="G25" s="2">
        <f>AVERAGE(G13:G24)</f>
        <v>14080640071.636942</v>
      </c>
      <c r="H25" s="9">
        <f t="shared" si="3"/>
        <v>0.98805207804003414</v>
      </c>
    </row>
    <row r="26" spans="1:8" x14ac:dyDescent="0.2">
      <c r="A26" s="4" t="s">
        <v>671</v>
      </c>
      <c r="B26" s="2">
        <f t="shared" ref="B26:H26" si="4">STDEV(B13:B24)</f>
        <v>22151.765143943365</v>
      </c>
      <c r="C26" s="2">
        <f t="shared" si="4"/>
        <v>4602.917553030903</v>
      </c>
      <c r="D26" s="9">
        <f t="shared" si="4"/>
        <v>2.1260616474300182E-2</v>
      </c>
      <c r="E26" s="2">
        <f t="shared" si="4"/>
        <v>175.31417685418543</v>
      </c>
      <c r="F26" s="2">
        <f t="shared" si="4"/>
        <v>2643520162.3063898</v>
      </c>
      <c r="G26" s="2">
        <f t="shared" si="4"/>
        <v>2618929060.6569271</v>
      </c>
      <c r="H26" s="9">
        <f t="shared" si="4"/>
        <v>2.392334764484581E-3</v>
      </c>
    </row>
    <row r="29" spans="1:8" x14ac:dyDescent="0.2">
      <c r="A29" s="4" t="s">
        <v>518</v>
      </c>
      <c r="B29" s="4" t="s">
        <v>663</v>
      </c>
      <c r="C29" s="4" t="s">
        <v>664</v>
      </c>
      <c r="D29" s="4" t="s">
        <v>508</v>
      </c>
      <c r="E29" s="4" t="s">
        <v>509</v>
      </c>
      <c r="F29" s="4" t="s">
        <v>511</v>
      </c>
    </row>
    <row r="30" spans="1:8" x14ac:dyDescent="0.2">
      <c r="A30" t="s">
        <v>519</v>
      </c>
      <c r="B30">
        <v>1</v>
      </c>
      <c r="C30">
        <v>1</v>
      </c>
      <c r="D30" s="2">
        <v>27464</v>
      </c>
      <c r="E30" s="2">
        <v>7353</v>
      </c>
      <c r="F30" s="3">
        <f>E30/D30</f>
        <v>0.2677323041071949</v>
      </c>
    </row>
    <row r="31" spans="1:8" x14ac:dyDescent="0.2">
      <c r="A31" t="s">
        <v>520</v>
      </c>
      <c r="B31">
        <v>1</v>
      </c>
      <c r="C31">
        <v>2</v>
      </c>
      <c r="D31" s="2">
        <v>27128</v>
      </c>
      <c r="E31" s="2">
        <v>7540</v>
      </c>
      <c r="F31" s="3">
        <f t="shared" ref="F31:F94" si="5">E31/D31</f>
        <v>0.27794161014450014</v>
      </c>
    </row>
    <row r="32" spans="1:8" x14ac:dyDescent="0.2">
      <c r="A32" t="s">
        <v>521</v>
      </c>
      <c r="B32">
        <v>1</v>
      </c>
      <c r="C32">
        <v>3</v>
      </c>
      <c r="D32" s="2">
        <v>27621</v>
      </c>
      <c r="E32" s="2">
        <v>7364</v>
      </c>
      <c r="F32" s="3">
        <f t="shared" si="5"/>
        <v>0.26660873972701932</v>
      </c>
    </row>
    <row r="33" spans="1:6" x14ac:dyDescent="0.2">
      <c r="A33" t="s">
        <v>522</v>
      </c>
      <c r="B33">
        <v>1</v>
      </c>
      <c r="C33">
        <v>4</v>
      </c>
      <c r="D33" s="2">
        <v>27837</v>
      </c>
      <c r="E33" s="2">
        <v>6915</v>
      </c>
      <c r="F33" s="3">
        <f t="shared" si="5"/>
        <v>0.24841038905054424</v>
      </c>
    </row>
    <row r="34" spans="1:6" x14ac:dyDescent="0.2">
      <c r="A34" t="s">
        <v>523</v>
      </c>
      <c r="B34">
        <v>1</v>
      </c>
      <c r="C34">
        <v>5</v>
      </c>
      <c r="D34" s="2">
        <v>27241</v>
      </c>
      <c r="E34" s="2">
        <v>6774</v>
      </c>
      <c r="F34" s="3">
        <f t="shared" si="5"/>
        <v>0.24866928526852905</v>
      </c>
    </row>
    <row r="35" spans="1:6" x14ac:dyDescent="0.2">
      <c r="A35" t="s">
        <v>524</v>
      </c>
      <c r="B35">
        <v>1</v>
      </c>
      <c r="C35">
        <v>6</v>
      </c>
      <c r="D35" s="2">
        <v>27438</v>
      </c>
      <c r="E35" s="2">
        <v>7377</v>
      </c>
      <c r="F35" s="3">
        <f t="shared" si="5"/>
        <v>0.26886070413295432</v>
      </c>
    </row>
    <row r="36" spans="1:6" x14ac:dyDescent="0.2">
      <c r="A36" t="s">
        <v>525</v>
      </c>
      <c r="B36">
        <v>1</v>
      </c>
      <c r="C36">
        <v>7</v>
      </c>
      <c r="D36" s="2">
        <v>27828</v>
      </c>
      <c r="E36" s="2">
        <v>7493</v>
      </c>
      <c r="F36" s="3">
        <f t="shared" si="5"/>
        <v>0.26926117579416414</v>
      </c>
    </row>
    <row r="37" spans="1:6" x14ac:dyDescent="0.2">
      <c r="A37" t="s">
        <v>526</v>
      </c>
      <c r="B37">
        <v>1</v>
      </c>
      <c r="C37">
        <v>8</v>
      </c>
      <c r="D37" s="2">
        <v>27093</v>
      </c>
      <c r="E37" s="2">
        <v>7817</v>
      </c>
      <c r="F37" s="3">
        <f t="shared" si="5"/>
        <v>0.28852471118000961</v>
      </c>
    </row>
    <row r="38" spans="1:6" x14ac:dyDescent="0.2">
      <c r="A38" t="s">
        <v>527</v>
      </c>
      <c r="B38">
        <v>1</v>
      </c>
      <c r="C38">
        <v>9</v>
      </c>
      <c r="D38" s="2">
        <v>28185</v>
      </c>
      <c r="E38" s="2">
        <v>7814</v>
      </c>
      <c r="F38" s="3">
        <f t="shared" si="5"/>
        <v>0.27723966648926734</v>
      </c>
    </row>
    <row r="39" spans="1:6" x14ac:dyDescent="0.2">
      <c r="A39" t="s">
        <v>528</v>
      </c>
      <c r="B39">
        <v>1</v>
      </c>
      <c r="C39">
        <v>10</v>
      </c>
      <c r="D39" s="2">
        <v>26442</v>
      </c>
      <c r="E39" s="2">
        <v>7183</v>
      </c>
      <c r="F39" s="3">
        <f t="shared" si="5"/>
        <v>0.27165116103169201</v>
      </c>
    </row>
    <row r="40" spans="1:6" x14ac:dyDescent="0.2">
      <c r="A40" t="s">
        <v>529</v>
      </c>
      <c r="B40">
        <v>1</v>
      </c>
      <c r="C40">
        <v>11</v>
      </c>
      <c r="D40" s="2">
        <v>27974</v>
      </c>
      <c r="E40" s="2">
        <v>7688</v>
      </c>
      <c r="F40" s="3">
        <f t="shared" si="5"/>
        <v>0.27482662472295705</v>
      </c>
    </row>
    <row r="41" spans="1:6" x14ac:dyDescent="0.2">
      <c r="A41" t="s">
        <v>530</v>
      </c>
      <c r="B41">
        <v>1</v>
      </c>
      <c r="C41">
        <v>12</v>
      </c>
      <c r="D41" s="2">
        <v>26942</v>
      </c>
      <c r="E41" s="2">
        <v>7428</v>
      </c>
      <c r="F41" s="3">
        <f t="shared" si="5"/>
        <v>0.27570336277930368</v>
      </c>
    </row>
    <row r="42" spans="1:6" x14ac:dyDescent="0.2">
      <c r="A42" t="s">
        <v>567</v>
      </c>
      <c r="B42">
        <v>2</v>
      </c>
      <c r="C42">
        <v>1</v>
      </c>
      <c r="D42" s="2">
        <v>27470</v>
      </c>
      <c r="E42" s="2">
        <v>7734</v>
      </c>
      <c r="F42" s="3">
        <f t="shared" si="5"/>
        <v>0.2815435020021842</v>
      </c>
    </row>
    <row r="43" spans="1:6" x14ac:dyDescent="0.2">
      <c r="A43" t="s">
        <v>568</v>
      </c>
      <c r="B43">
        <v>2</v>
      </c>
      <c r="C43">
        <v>2</v>
      </c>
      <c r="D43" s="2">
        <v>27447</v>
      </c>
      <c r="E43" s="2">
        <v>7696</v>
      </c>
      <c r="F43" s="3">
        <f t="shared" si="5"/>
        <v>0.28039494298101797</v>
      </c>
    </row>
    <row r="44" spans="1:6" x14ac:dyDescent="0.2">
      <c r="A44" t="s">
        <v>569</v>
      </c>
      <c r="B44">
        <v>2</v>
      </c>
      <c r="C44">
        <v>3</v>
      </c>
      <c r="D44" s="2">
        <v>27601</v>
      </c>
      <c r="E44" s="2">
        <v>7536</v>
      </c>
      <c r="F44" s="3">
        <f t="shared" si="5"/>
        <v>0.27303358573964709</v>
      </c>
    </row>
    <row r="45" spans="1:6" x14ac:dyDescent="0.2">
      <c r="A45" t="s">
        <v>570</v>
      </c>
      <c r="B45">
        <v>2</v>
      </c>
      <c r="C45">
        <v>4</v>
      </c>
      <c r="D45" s="2">
        <v>27294</v>
      </c>
      <c r="E45" s="2">
        <v>7595</v>
      </c>
      <c r="F45" s="3">
        <f t="shared" si="5"/>
        <v>0.27826628563054151</v>
      </c>
    </row>
    <row r="46" spans="1:6" x14ac:dyDescent="0.2">
      <c r="A46" t="s">
        <v>571</v>
      </c>
      <c r="B46">
        <v>2</v>
      </c>
      <c r="C46">
        <v>5</v>
      </c>
      <c r="D46" s="2">
        <v>26388</v>
      </c>
      <c r="E46" s="2">
        <v>7351</v>
      </c>
      <c r="F46" s="3">
        <f t="shared" si="5"/>
        <v>0.27857359405790511</v>
      </c>
    </row>
    <row r="47" spans="1:6" x14ac:dyDescent="0.2">
      <c r="A47" t="s">
        <v>572</v>
      </c>
      <c r="B47">
        <v>2</v>
      </c>
      <c r="C47">
        <v>6</v>
      </c>
      <c r="D47" s="2">
        <v>27653</v>
      </c>
      <c r="E47" s="2">
        <v>7980</v>
      </c>
      <c r="F47" s="3">
        <f t="shared" si="5"/>
        <v>0.28857628467074098</v>
      </c>
    </row>
    <row r="48" spans="1:6" x14ac:dyDescent="0.2">
      <c r="A48" t="s">
        <v>573</v>
      </c>
      <c r="B48">
        <v>2</v>
      </c>
      <c r="C48">
        <v>7</v>
      </c>
      <c r="D48" s="2">
        <v>27915</v>
      </c>
      <c r="E48" s="2">
        <v>7950</v>
      </c>
      <c r="F48" s="3">
        <f t="shared" si="5"/>
        <v>0.28479312197743151</v>
      </c>
    </row>
    <row r="49" spans="1:6" x14ac:dyDescent="0.2">
      <c r="A49" t="s">
        <v>574</v>
      </c>
      <c r="B49">
        <v>2</v>
      </c>
      <c r="C49">
        <v>8</v>
      </c>
      <c r="D49" s="2">
        <v>26270</v>
      </c>
      <c r="E49" s="2">
        <v>7629</v>
      </c>
      <c r="F49" s="3">
        <f t="shared" si="5"/>
        <v>0.29040730871716786</v>
      </c>
    </row>
    <row r="50" spans="1:6" x14ac:dyDescent="0.2">
      <c r="A50" t="s">
        <v>575</v>
      </c>
      <c r="B50">
        <v>2</v>
      </c>
      <c r="C50">
        <v>9</v>
      </c>
      <c r="D50" s="2">
        <v>27613</v>
      </c>
      <c r="E50" s="2">
        <v>7795</v>
      </c>
      <c r="F50" s="3">
        <f t="shared" si="5"/>
        <v>0.28229457139753017</v>
      </c>
    </row>
    <row r="51" spans="1:6" x14ac:dyDescent="0.2">
      <c r="A51" t="s">
        <v>576</v>
      </c>
      <c r="B51">
        <v>2</v>
      </c>
      <c r="C51">
        <v>10</v>
      </c>
      <c r="D51" s="2">
        <v>25649</v>
      </c>
      <c r="E51" s="2">
        <v>7486</v>
      </c>
      <c r="F51" s="3">
        <f t="shared" si="5"/>
        <v>0.2918632305353035</v>
      </c>
    </row>
    <row r="52" spans="1:6" x14ac:dyDescent="0.2">
      <c r="A52" t="s">
        <v>577</v>
      </c>
      <c r="B52">
        <v>2</v>
      </c>
      <c r="C52">
        <v>11</v>
      </c>
      <c r="D52" s="2">
        <v>27726</v>
      </c>
      <c r="E52" s="2">
        <v>7721</v>
      </c>
      <c r="F52" s="3">
        <f t="shared" si="5"/>
        <v>0.27847507754454304</v>
      </c>
    </row>
    <row r="53" spans="1:6" x14ac:dyDescent="0.2">
      <c r="A53" t="s">
        <v>578</v>
      </c>
      <c r="B53">
        <v>2</v>
      </c>
      <c r="C53">
        <v>12</v>
      </c>
      <c r="D53" s="2">
        <v>26478</v>
      </c>
      <c r="E53" s="2">
        <v>7657</v>
      </c>
      <c r="F53" s="3">
        <f t="shared" si="5"/>
        <v>0.28918347307198428</v>
      </c>
    </row>
    <row r="54" spans="1:6" x14ac:dyDescent="0.2">
      <c r="A54" t="s">
        <v>579</v>
      </c>
      <c r="B54">
        <v>3</v>
      </c>
      <c r="C54">
        <v>1</v>
      </c>
      <c r="D54" s="2">
        <v>28233</v>
      </c>
      <c r="E54" s="2">
        <v>7456</v>
      </c>
      <c r="F54" s="3">
        <f t="shared" si="5"/>
        <v>0.26408812382672758</v>
      </c>
    </row>
    <row r="55" spans="1:6" x14ac:dyDescent="0.2">
      <c r="A55" t="s">
        <v>580</v>
      </c>
      <c r="B55">
        <v>3</v>
      </c>
      <c r="C55">
        <v>2</v>
      </c>
      <c r="D55" s="2">
        <v>25039</v>
      </c>
      <c r="E55" s="2">
        <v>7510</v>
      </c>
      <c r="F55" s="3">
        <f t="shared" si="5"/>
        <v>0.29993210591477293</v>
      </c>
    </row>
    <row r="56" spans="1:6" x14ac:dyDescent="0.2">
      <c r="A56" t="s">
        <v>581</v>
      </c>
      <c r="B56">
        <v>3</v>
      </c>
      <c r="C56">
        <v>3</v>
      </c>
      <c r="D56" s="2">
        <v>26426</v>
      </c>
      <c r="E56" s="2">
        <v>7536</v>
      </c>
      <c r="F56" s="3">
        <f t="shared" si="5"/>
        <v>0.28517369257549385</v>
      </c>
    </row>
    <row r="57" spans="1:6" x14ac:dyDescent="0.2">
      <c r="A57" t="s">
        <v>582</v>
      </c>
      <c r="B57">
        <v>3</v>
      </c>
      <c r="C57">
        <v>4</v>
      </c>
      <c r="D57" s="2">
        <v>24672</v>
      </c>
      <c r="E57" s="2">
        <v>7475</v>
      </c>
      <c r="F57" s="3">
        <f t="shared" si="5"/>
        <v>0.30297503242542151</v>
      </c>
    </row>
    <row r="58" spans="1:6" x14ac:dyDescent="0.2">
      <c r="A58" t="s">
        <v>583</v>
      </c>
      <c r="B58">
        <v>3</v>
      </c>
      <c r="C58">
        <v>5</v>
      </c>
      <c r="D58" s="2">
        <v>28023</v>
      </c>
      <c r="E58" s="2">
        <v>7438</v>
      </c>
      <c r="F58" s="3">
        <f t="shared" si="5"/>
        <v>0.26542482960425368</v>
      </c>
    </row>
    <row r="59" spans="1:6" x14ac:dyDescent="0.2">
      <c r="A59" t="s">
        <v>584</v>
      </c>
      <c r="B59">
        <v>3</v>
      </c>
      <c r="C59">
        <v>6</v>
      </c>
      <c r="D59" s="2">
        <v>26709</v>
      </c>
      <c r="E59" s="2">
        <v>7183</v>
      </c>
      <c r="F59" s="3">
        <f t="shared" si="5"/>
        <v>0.26893556479089448</v>
      </c>
    </row>
    <row r="60" spans="1:6" x14ac:dyDescent="0.2">
      <c r="A60" t="s">
        <v>585</v>
      </c>
      <c r="B60">
        <v>3</v>
      </c>
      <c r="C60">
        <v>7</v>
      </c>
      <c r="D60" s="2">
        <v>27334</v>
      </c>
      <c r="E60" s="2">
        <v>7237</v>
      </c>
      <c r="F60" s="3">
        <f t="shared" si="5"/>
        <v>0.26476183507719325</v>
      </c>
    </row>
    <row r="61" spans="1:6" x14ac:dyDescent="0.2">
      <c r="A61" t="s">
        <v>586</v>
      </c>
      <c r="B61">
        <v>3</v>
      </c>
      <c r="C61">
        <v>8</v>
      </c>
      <c r="D61" s="2">
        <v>26601</v>
      </c>
      <c r="E61" s="2">
        <v>6953</v>
      </c>
      <c r="F61" s="3">
        <f t="shared" si="5"/>
        <v>0.26138115108454568</v>
      </c>
    </row>
    <row r="62" spans="1:6" x14ac:dyDescent="0.2">
      <c r="A62" t="s">
        <v>587</v>
      </c>
      <c r="B62">
        <v>3</v>
      </c>
      <c r="C62">
        <v>9</v>
      </c>
      <c r="D62" s="2">
        <v>25273</v>
      </c>
      <c r="E62" s="2">
        <v>7628</v>
      </c>
      <c r="F62" s="3">
        <f t="shared" si="5"/>
        <v>0.30182408103509673</v>
      </c>
    </row>
    <row r="63" spans="1:6" x14ac:dyDescent="0.2">
      <c r="A63" t="s">
        <v>588</v>
      </c>
      <c r="B63">
        <v>3</v>
      </c>
      <c r="C63">
        <v>10</v>
      </c>
      <c r="D63" s="2">
        <v>26392</v>
      </c>
      <c r="E63" s="2">
        <v>6791</v>
      </c>
      <c r="F63" s="3">
        <f t="shared" si="5"/>
        <v>0.25731282206729311</v>
      </c>
    </row>
    <row r="64" spans="1:6" x14ac:dyDescent="0.2">
      <c r="A64" t="s">
        <v>589</v>
      </c>
      <c r="B64">
        <v>3</v>
      </c>
      <c r="C64">
        <v>11</v>
      </c>
      <c r="D64" s="2">
        <v>24502</v>
      </c>
      <c r="E64" s="2">
        <v>7444</v>
      </c>
      <c r="F64" s="3">
        <f t="shared" si="5"/>
        <v>0.30381193371969634</v>
      </c>
    </row>
    <row r="65" spans="1:6" x14ac:dyDescent="0.2">
      <c r="A65" t="s">
        <v>590</v>
      </c>
      <c r="B65">
        <v>3</v>
      </c>
      <c r="C65">
        <v>12</v>
      </c>
      <c r="D65" s="2">
        <v>27200</v>
      </c>
      <c r="E65" s="2">
        <v>7156</v>
      </c>
      <c r="F65" s="3">
        <f t="shared" si="5"/>
        <v>0.26308823529411762</v>
      </c>
    </row>
    <row r="66" spans="1:6" x14ac:dyDescent="0.2">
      <c r="A66" t="s">
        <v>591</v>
      </c>
      <c r="B66">
        <v>4</v>
      </c>
      <c r="C66">
        <v>1</v>
      </c>
      <c r="D66" s="2">
        <v>23443</v>
      </c>
      <c r="E66" s="2">
        <v>6979</v>
      </c>
      <c r="F66" s="3">
        <f t="shared" si="5"/>
        <v>0.29770080621080919</v>
      </c>
    </row>
    <row r="67" spans="1:6" x14ac:dyDescent="0.2">
      <c r="A67" t="s">
        <v>592</v>
      </c>
      <c r="B67">
        <v>4</v>
      </c>
      <c r="C67">
        <v>2</v>
      </c>
      <c r="D67" s="2">
        <v>27197</v>
      </c>
      <c r="E67" s="2">
        <v>7238</v>
      </c>
      <c r="F67" s="3">
        <f t="shared" si="5"/>
        <v>0.26613229400301502</v>
      </c>
    </row>
    <row r="68" spans="1:6" x14ac:dyDescent="0.2">
      <c r="A68" t="s">
        <v>593</v>
      </c>
      <c r="B68">
        <v>4</v>
      </c>
      <c r="C68">
        <v>3</v>
      </c>
      <c r="D68" s="2">
        <v>24206</v>
      </c>
      <c r="E68" s="2">
        <v>6843</v>
      </c>
      <c r="F68" s="3">
        <f t="shared" si="5"/>
        <v>0.28269850450301576</v>
      </c>
    </row>
    <row r="69" spans="1:6" x14ac:dyDescent="0.2">
      <c r="A69" t="s">
        <v>594</v>
      </c>
      <c r="B69">
        <v>4</v>
      </c>
      <c r="C69">
        <v>4</v>
      </c>
      <c r="D69" s="2">
        <v>27650</v>
      </c>
      <c r="E69" s="2">
        <v>7174</v>
      </c>
      <c r="F69" s="3">
        <f t="shared" si="5"/>
        <v>0.25945750452079563</v>
      </c>
    </row>
    <row r="70" spans="1:6" x14ac:dyDescent="0.2">
      <c r="A70" t="s">
        <v>595</v>
      </c>
      <c r="B70">
        <v>4</v>
      </c>
      <c r="C70">
        <v>5</v>
      </c>
      <c r="D70" s="2">
        <v>23423</v>
      </c>
      <c r="E70" s="2">
        <v>7144</v>
      </c>
      <c r="F70" s="3">
        <f t="shared" si="5"/>
        <v>0.3049993596038082</v>
      </c>
    </row>
    <row r="71" spans="1:6" x14ac:dyDescent="0.2">
      <c r="A71" t="s">
        <v>596</v>
      </c>
      <c r="B71">
        <v>4</v>
      </c>
      <c r="C71">
        <v>6</v>
      </c>
      <c r="D71" s="2">
        <v>24639</v>
      </c>
      <c r="E71" s="2">
        <v>7691</v>
      </c>
      <c r="F71" s="3">
        <f t="shared" si="5"/>
        <v>0.31214740857989365</v>
      </c>
    </row>
    <row r="72" spans="1:6" x14ac:dyDescent="0.2">
      <c r="A72" t="s">
        <v>597</v>
      </c>
      <c r="B72">
        <v>4</v>
      </c>
      <c r="C72">
        <v>7</v>
      </c>
      <c r="D72" s="2">
        <v>28236</v>
      </c>
      <c r="E72" s="2">
        <v>7171</v>
      </c>
      <c r="F72" s="3">
        <f t="shared" si="5"/>
        <v>0.25396656750247909</v>
      </c>
    </row>
    <row r="73" spans="1:6" x14ac:dyDescent="0.2">
      <c r="A73" t="s">
        <v>598</v>
      </c>
      <c r="B73">
        <v>4</v>
      </c>
      <c r="C73">
        <v>8</v>
      </c>
      <c r="D73" s="2">
        <v>27278</v>
      </c>
      <c r="E73" s="2">
        <v>7135</v>
      </c>
      <c r="F73" s="3">
        <f t="shared" si="5"/>
        <v>0.26156609722120389</v>
      </c>
    </row>
    <row r="74" spans="1:6" x14ac:dyDescent="0.2">
      <c r="A74" t="s">
        <v>599</v>
      </c>
      <c r="B74">
        <v>4</v>
      </c>
      <c r="C74">
        <v>9</v>
      </c>
      <c r="D74" s="2">
        <v>28563</v>
      </c>
      <c r="E74" s="2">
        <v>7317</v>
      </c>
      <c r="F74" s="3">
        <f t="shared" si="5"/>
        <v>0.25617057031824386</v>
      </c>
    </row>
    <row r="75" spans="1:6" x14ac:dyDescent="0.2">
      <c r="A75" t="s">
        <v>600</v>
      </c>
      <c r="B75">
        <v>4</v>
      </c>
      <c r="C75">
        <v>10</v>
      </c>
      <c r="D75" s="2">
        <v>27113</v>
      </c>
      <c r="E75" s="2">
        <v>7033</v>
      </c>
      <c r="F75" s="3">
        <f t="shared" si="5"/>
        <v>0.25939586176372958</v>
      </c>
    </row>
    <row r="76" spans="1:6" x14ac:dyDescent="0.2">
      <c r="A76" t="s">
        <v>601</v>
      </c>
      <c r="B76">
        <v>4</v>
      </c>
      <c r="C76">
        <v>11</v>
      </c>
      <c r="D76" s="2">
        <v>28961</v>
      </c>
      <c r="E76" s="2">
        <v>7576</v>
      </c>
      <c r="F76" s="3">
        <f t="shared" si="5"/>
        <v>0.26159317703117985</v>
      </c>
    </row>
    <row r="77" spans="1:6" x14ac:dyDescent="0.2">
      <c r="A77" t="s">
        <v>602</v>
      </c>
      <c r="B77">
        <v>4</v>
      </c>
      <c r="C77">
        <v>12</v>
      </c>
      <c r="D77" s="2">
        <v>28207</v>
      </c>
      <c r="E77" s="2">
        <v>7309</v>
      </c>
      <c r="F77" s="3">
        <f t="shared" si="5"/>
        <v>0.25912007657673625</v>
      </c>
    </row>
    <row r="78" spans="1:6" x14ac:dyDescent="0.2">
      <c r="A78" t="s">
        <v>603</v>
      </c>
      <c r="B78">
        <v>5</v>
      </c>
      <c r="C78">
        <v>1</v>
      </c>
      <c r="D78" s="2">
        <v>29746</v>
      </c>
      <c r="E78" s="2">
        <v>7901</v>
      </c>
      <c r="F78" s="3">
        <f t="shared" si="5"/>
        <v>0.26561554494721978</v>
      </c>
    </row>
    <row r="79" spans="1:6" x14ac:dyDescent="0.2">
      <c r="A79" t="s">
        <v>604</v>
      </c>
      <c r="B79">
        <v>5</v>
      </c>
      <c r="C79">
        <v>2</v>
      </c>
      <c r="D79" s="2">
        <v>29858</v>
      </c>
      <c r="E79" s="2">
        <v>7905</v>
      </c>
      <c r="F79" s="3">
        <f t="shared" si="5"/>
        <v>0.26475316498090962</v>
      </c>
    </row>
    <row r="80" spans="1:6" x14ac:dyDescent="0.2">
      <c r="A80" t="s">
        <v>605</v>
      </c>
      <c r="B80">
        <v>5</v>
      </c>
      <c r="C80">
        <v>3</v>
      </c>
      <c r="D80" s="2">
        <v>29762</v>
      </c>
      <c r="E80" s="2">
        <v>7566</v>
      </c>
      <c r="F80" s="3">
        <f t="shared" si="5"/>
        <v>0.25421678650628315</v>
      </c>
    </row>
    <row r="81" spans="1:6" x14ac:dyDescent="0.2">
      <c r="A81" t="s">
        <v>606</v>
      </c>
      <c r="B81">
        <v>5</v>
      </c>
      <c r="C81">
        <v>4</v>
      </c>
      <c r="D81" s="2">
        <v>28972</v>
      </c>
      <c r="E81" s="2">
        <v>7575</v>
      </c>
      <c r="F81" s="3">
        <f t="shared" si="5"/>
        <v>0.26145934005246446</v>
      </c>
    </row>
    <row r="82" spans="1:6" x14ac:dyDescent="0.2">
      <c r="A82" t="s">
        <v>607</v>
      </c>
      <c r="B82">
        <v>5</v>
      </c>
      <c r="C82">
        <v>5</v>
      </c>
      <c r="D82" s="2">
        <v>29986</v>
      </c>
      <c r="E82" s="2">
        <v>7674</v>
      </c>
      <c r="F82" s="3">
        <f t="shared" si="5"/>
        <v>0.25591942906689791</v>
      </c>
    </row>
    <row r="83" spans="1:6" x14ac:dyDescent="0.2">
      <c r="A83" t="s">
        <v>608</v>
      </c>
      <c r="B83">
        <v>5</v>
      </c>
      <c r="C83">
        <v>6</v>
      </c>
      <c r="D83" s="2">
        <v>30375</v>
      </c>
      <c r="E83" s="2">
        <v>7984</v>
      </c>
      <c r="F83" s="3">
        <f t="shared" si="5"/>
        <v>0.26284773662551442</v>
      </c>
    </row>
    <row r="84" spans="1:6" x14ac:dyDescent="0.2">
      <c r="A84" t="s">
        <v>609</v>
      </c>
      <c r="B84">
        <v>5</v>
      </c>
      <c r="C84">
        <v>7</v>
      </c>
      <c r="D84" s="2">
        <v>29203</v>
      </c>
      <c r="E84" s="2">
        <v>7714</v>
      </c>
      <c r="F84" s="3">
        <f t="shared" si="5"/>
        <v>0.26415094339622641</v>
      </c>
    </row>
    <row r="85" spans="1:6" x14ac:dyDescent="0.2">
      <c r="A85" t="s">
        <v>610</v>
      </c>
      <c r="B85">
        <v>5</v>
      </c>
      <c r="C85">
        <v>8</v>
      </c>
      <c r="D85" s="2">
        <v>28088</v>
      </c>
      <c r="E85" s="2">
        <v>7478</v>
      </c>
      <c r="F85" s="3">
        <f t="shared" si="5"/>
        <v>0.26623469097123326</v>
      </c>
    </row>
    <row r="86" spans="1:6" x14ac:dyDescent="0.2">
      <c r="A86" t="s">
        <v>611</v>
      </c>
      <c r="B86">
        <v>5</v>
      </c>
      <c r="C86">
        <v>9</v>
      </c>
      <c r="D86" s="2">
        <v>30058</v>
      </c>
      <c r="E86" s="2">
        <v>7883</v>
      </c>
      <c r="F86" s="3">
        <f t="shared" si="5"/>
        <v>0.26225963137933328</v>
      </c>
    </row>
    <row r="87" spans="1:6" x14ac:dyDescent="0.2">
      <c r="A87" t="s">
        <v>612</v>
      </c>
      <c r="B87">
        <v>5</v>
      </c>
      <c r="C87">
        <v>10</v>
      </c>
      <c r="D87" s="2">
        <v>27832</v>
      </c>
      <c r="E87" s="2">
        <v>7395</v>
      </c>
      <c r="F87" s="3">
        <f t="shared" si="5"/>
        <v>0.26570135096292036</v>
      </c>
    </row>
    <row r="88" spans="1:6" x14ac:dyDescent="0.2">
      <c r="A88" t="s">
        <v>613</v>
      </c>
      <c r="B88">
        <v>5</v>
      </c>
      <c r="C88">
        <v>11</v>
      </c>
      <c r="D88" s="2">
        <v>30318</v>
      </c>
      <c r="E88" s="2">
        <v>7829</v>
      </c>
      <c r="F88" s="3">
        <f t="shared" si="5"/>
        <v>0.25822943465927833</v>
      </c>
    </row>
    <row r="89" spans="1:6" x14ac:dyDescent="0.2">
      <c r="A89" t="s">
        <v>614</v>
      </c>
      <c r="B89">
        <v>5</v>
      </c>
      <c r="C89">
        <v>12</v>
      </c>
      <c r="D89" s="2">
        <v>27826</v>
      </c>
      <c r="E89" s="2">
        <v>7604</v>
      </c>
      <c r="F89" s="3">
        <f t="shared" si="5"/>
        <v>0.27326960396751238</v>
      </c>
    </row>
    <row r="90" spans="1:6" x14ac:dyDescent="0.2">
      <c r="A90" t="s">
        <v>615</v>
      </c>
      <c r="B90">
        <v>6</v>
      </c>
      <c r="C90">
        <v>1</v>
      </c>
      <c r="D90" s="2">
        <v>29976</v>
      </c>
      <c r="E90" s="2">
        <v>8417</v>
      </c>
      <c r="F90" s="3">
        <f t="shared" si="5"/>
        <v>0.2807912997064318</v>
      </c>
    </row>
    <row r="91" spans="1:6" x14ac:dyDescent="0.2">
      <c r="A91" t="s">
        <v>616</v>
      </c>
      <c r="B91">
        <v>6</v>
      </c>
      <c r="C91">
        <v>2</v>
      </c>
      <c r="D91" s="2">
        <v>29580</v>
      </c>
      <c r="E91" s="2">
        <v>8840</v>
      </c>
      <c r="F91" s="3">
        <f t="shared" si="5"/>
        <v>0.2988505747126437</v>
      </c>
    </row>
    <row r="92" spans="1:6" x14ac:dyDescent="0.2">
      <c r="A92" t="s">
        <v>617</v>
      </c>
      <c r="B92">
        <v>6</v>
      </c>
      <c r="C92">
        <v>3</v>
      </c>
      <c r="D92" s="2">
        <v>30081</v>
      </c>
      <c r="E92" s="2">
        <v>8747</v>
      </c>
      <c r="F92" s="3">
        <f t="shared" si="5"/>
        <v>0.29078155646421328</v>
      </c>
    </row>
    <row r="93" spans="1:6" x14ac:dyDescent="0.2">
      <c r="A93" t="s">
        <v>618</v>
      </c>
      <c r="B93">
        <v>6</v>
      </c>
      <c r="C93">
        <v>4</v>
      </c>
      <c r="D93" s="2">
        <v>27210</v>
      </c>
      <c r="E93" s="2">
        <v>7978</v>
      </c>
      <c r="F93" s="3">
        <f t="shared" si="5"/>
        <v>0.29320102903344358</v>
      </c>
    </row>
    <row r="94" spans="1:6" x14ac:dyDescent="0.2">
      <c r="A94" t="s">
        <v>619</v>
      </c>
      <c r="B94">
        <v>6</v>
      </c>
      <c r="C94">
        <v>5</v>
      </c>
      <c r="D94" s="2">
        <v>29708</v>
      </c>
      <c r="E94" s="2">
        <v>8374</v>
      </c>
      <c r="F94" s="3">
        <f t="shared" si="5"/>
        <v>0.28187693550558773</v>
      </c>
    </row>
    <row r="95" spans="1:6" x14ac:dyDescent="0.2">
      <c r="A95" t="s">
        <v>620</v>
      </c>
      <c r="B95">
        <v>6</v>
      </c>
      <c r="C95">
        <v>6</v>
      </c>
      <c r="D95" s="2">
        <v>27226</v>
      </c>
      <c r="E95" s="2">
        <v>8058</v>
      </c>
      <c r="F95" s="3">
        <f t="shared" ref="F95:F158" si="6">E95/D95</f>
        <v>0.29596709028134871</v>
      </c>
    </row>
    <row r="96" spans="1:6" x14ac:dyDescent="0.2">
      <c r="A96" t="s">
        <v>621</v>
      </c>
      <c r="B96">
        <v>6</v>
      </c>
      <c r="C96">
        <v>7</v>
      </c>
      <c r="D96" s="2">
        <v>29444</v>
      </c>
      <c r="E96" s="2">
        <v>8687</v>
      </c>
      <c r="F96" s="3">
        <f t="shared" si="6"/>
        <v>0.29503464203233254</v>
      </c>
    </row>
    <row r="97" spans="1:6" x14ac:dyDescent="0.2">
      <c r="A97" t="s">
        <v>622</v>
      </c>
      <c r="B97">
        <v>6</v>
      </c>
      <c r="C97">
        <v>8</v>
      </c>
      <c r="D97" s="2">
        <v>28060</v>
      </c>
      <c r="E97" s="2">
        <v>8031</v>
      </c>
      <c r="F97" s="3">
        <f t="shared" si="6"/>
        <v>0.28620812544547397</v>
      </c>
    </row>
    <row r="98" spans="1:6" x14ac:dyDescent="0.2">
      <c r="A98" t="s">
        <v>623</v>
      </c>
      <c r="B98">
        <v>6</v>
      </c>
      <c r="C98">
        <v>9</v>
      </c>
      <c r="D98" s="2">
        <v>29239</v>
      </c>
      <c r="E98" s="2">
        <v>8138</v>
      </c>
      <c r="F98" s="3">
        <f t="shared" si="6"/>
        <v>0.27832689216457474</v>
      </c>
    </row>
    <row r="99" spans="1:6" x14ac:dyDescent="0.2">
      <c r="A99" t="s">
        <v>624</v>
      </c>
      <c r="B99">
        <v>6</v>
      </c>
      <c r="C99">
        <v>10</v>
      </c>
      <c r="D99" s="2">
        <v>27177</v>
      </c>
      <c r="E99" s="2">
        <v>7398</v>
      </c>
      <c r="F99" s="3">
        <f t="shared" si="6"/>
        <v>0.27221547632188986</v>
      </c>
    </row>
    <row r="100" spans="1:6" x14ac:dyDescent="0.2">
      <c r="A100" t="s">
        <v>625</v>
      </c>
      <c r="B100">
        <v>6</v>
      </c>
      <c r="C100">
        <v>11</v>
      </c>
      <c r="D100" s="2">
        <v>29280</v>
      </c>
      <c r="E100" s="2">
        <v>8282</v>
      </c>
      <c r="F100" s="3">
        <f t="shared" si="6"/>
        <v>0.28285519125683062</v>
      </c>
    </row>
    <row r="101" spans="1:6" x14ac:dyDescent="0.2">
      <c r="A101" t="s">
        <v>626</v>
      </c>
      <c r="B101">
        <v>6</v>
      </c>
      <c r="C101">
        <v>12</v>
      </c>
      <c r="D101" s="2">
        <v>28637</v>
      </c>
      <c r="E101" s="2">
        <v>7765</v>
      </c>
      <c r="F101" s="3">
        <f t="shared" si="6"/>
        <v>0.27115270454307366</v>
      </c>
    </row>
    <row r="102" spans="1:6" x14ac:dyDescent="0.2">
      <c r="A102" t="s">
        <v>627</v>
      </c>
      <c r="B102">
        <v>7</v>
      </c>
      <c r="C102">
        <v>1</v>
      </c>
      <c r="D102" s="2">
        <v>28755</v>
      </c>
      <c r="E102" s="2">
        <v>7856</v>
      </c>
      <c r="F102" s="3">
        <f t="shared" si="6"/>
        <v>0.27320466005912014</v>
      </c>
    </row>
    <row r="103" spans="1:6" x14ac:dyDescent="0.2">
      <c r="A103" t="s">
        <v>628</v>
      </c>
      <c r="B103">
        <v>7</v>
      </c>
      <c r="C103">
        <v>2</v>
      </c>
      <c r="D103" s="2">
        <v>27907</v>
      </c>
      <c r="E103" s="2">
        <v>7958</v>
      </c>
      <c r="F103" s="3">
        <f t="shared" si="6"/>
        <v>0.28516142903214248</v>
      </c>
    </row>
    <row r="104" spans="1:6" x14ac:dyDescent="0.2">
      <c r="A104" t="s">
        <v>629</v>
      </c>
      <c r="B104">
        <v>7</v>
      </c>
      <c r="C104">
        <v>3</v>
      </c>
      <c r="D104" s="2">
        <v>29124</v>
      </c>
      <c r="E104" s="2">
        <v>7650</v>
      </c>
      <c r="F104" s="3">
        <f t="shared" si="6"/>
        <v>0.2626699629171817</v>
      </c>
    </row>
    <row r="105" spans="1:6" x14ac:dyDescent="0.2">
      <c r="A105" t="s">
        <v>630</v>
      </c>
      <c r="B105">
        <v>7</v>
      </c>
      <c r="C105">
        <v>4</v>
      </c>
      <c r="D105" s="2">
        <v>28129</v>
      </c>
      <c r="E105" s="2">
        <v>8021</v>
      </c>
      <c r="F105" s="3">
        <f t="shared" si="6"/>
        <v>0.28515055636531694</v>
      </c>
    </row>
    <row r="106" spans="1:6" x14ac:dyDescent="0.2">
      <c r="A106" t="s">
        <v>631</v>
      </c>
      <c r="B106">
        <v>7</v>
      </c>
      <c r="C106">
        <v>5</v>
      </c>
      <c r="D106" s="2">
        <v>28203</v>
      </c>
      <c r="E106" s="2">
        <v>7935</v>
      </c>
      <c r="F106" s="3">
        <f t="shared" si="6"/>
        <v>0.28135304754813317</v>
      </c>
    </row>
    <row r="107" spans="1:6" x14ac:dyDescent="0.2">
      <c r="A107" t="s">
        <v>632</v>
      </c>
      <c r="B107">
        <v>7</v>
      </c>
      <c r="C107">
        <v>6</v>
      </c>
      <c r="D107" s="2">
        <v>28588</v>
      </c>
      <c r="E107" s="2">
        <v>8206</v>
      </c>
      <c r="F107" s="3">
        <f t="shared" si="6"/>
        <v>0.28704351476143836</v>
      </c>
    </row>
    <row r="108" spans="1:6" x14ac:dyDescent="0.2">
      <c r="A108" t="s">
        <v>633</v>
      </c>
      <c r="B108">
        <v>7</v>
      </c>
      <c r="C108">
        <v>7</v>
      </c>
      <c r="D108" s="2">
        <v>29138</v>
      </c>
      <c r="E108" s="2">
        <v>8381</v>
      </c>
      <c r="F108" s="3">
        <f t="shared" si="6"/>
        <v>0.28763127187864646</v>
      </c>
    </row>
    <row r="109" spans="1:6" x14ac:dyDescent="0.2">
      <c r="A109" t="s">
        <v>634</v>
      </c>
      <c r="B109">
        <v>7</v>
      </c>
      <c r="C109">
        <v>8</v>
      </c>
      <c r="D109" s="2">
        <v>28035</v>
      </c>
      <c r="E109" s="2">
        <v>8193</v>
      </c>
      <c r="F109" s="3">
        <f t="shared" si="6"/>
        <v>0.29224184055644731</v>
      </c>
    </row>
    <row r="110" spans="1:6" x14ac:dyDescent="0.2">
      <c r="A110" t="s">
        <v>635</v>
      </c>
      <c r="B110">
        <v>7</v>
      </c>
      <c r="C110">
        <v>9</v>
      </c>
      <c r="D110" s="2">
        <v>29855</v>
      </c>
      <c r="E110" s="2">
        <v>8559</v>
      </c>
      <c r="F110" s="3">
        <f t="shared" si="6"/>
        <v>0.28668564729526042</v>
      </c>
    </row>
    <row r="111" spans="1:6" x14ac:dyDescent="0.2">
      <c r="A111" t="s">
        <v>636</v>
      </c>
      <c r="B111">
        <v>7</v>
      </c>
      <c r="C111">
        <v>10</v>
      </c>
      <c r="D111" s="2">
        <v>27843</v>
      </c>
      <c r="E111" s="2">
        <v>7957</v>
      </c>
      <c r="F111" s="3">
        <f t="shared" si="6"/>
        <v>0.28578098624429837</v>
      </c>
    </row>
    <row r="112" spans="1:6" x14ac:dyDescent="0.2">
      <c r="A112" t="s">
        <v>637</v>
      </c>
      <c r="B112">
        <v>7</v>
      </c>
      <c r="C112">
        <v>11</v>
      </c>
      <c r="D112" s="2">
        <v>29910</v>
      </c>
      <c r="E112" s="2">
        <v>8387</v>
      </c>
      <c r="F112" s="3">
        <f t="shared" si="6"/>
        <v>0.28040789033767971</v>
      </c>
    </row>
    <row r="113" spans="1:6" x14ac:dyDescent="0.2">
      <c r="A113" t="s">
        <v>638</v>
      </c>
      <c r="B113">
        <v>7</v>
      </c>
      <c r="C113">
        <v>12</v>
      </c>
      <c r="D113" s="2">
        <v>28940</v>
      </c>
      <c r="E113" s="2">
        <v>8038</v>
      </c>
      <c r="F113" s="3">
        <f t="shared" si="6"/>
        <v>0.2777470628887353</v>
      </c>
    </row>
    <row r="114" spans="1:6" x14ac:dyDescent="0.2">
      <c r="A114" t="s">
        <v>639</v>
      </c>
      <c r="B114">
        <v>8</v>
      </c>
      <c r="C114">
        <v>1</v>
      </c>
      <c r="D114" s="2">
        <v>28274</v>
      </c>
      <c r="E114" s="2">
        <v>7678</v>
      </c>
      <c r="F114" s="3">
        <f t="shared" si="6"/>
        <v>0.27155690740609745</v>
      </c>
    </row>
    <row r="115" spans="1:6" x14ac:dyDescent="0.2">
      <c r="A115" t="s">
        <v>640</v>
      </c>
      <c r="B115">
        <v>8</v>
      </c>
      <c r="C115">
        <v>2</v>
      </c>
      <c r="D115" s="2">
        <v>28840</v>
      </c>
      <c r="E115" s="2">
        <v>8075</v>
      </c>
      <c r="F115" s="3">
        <f t="shared" si="6"/>
        <v>0.27999306518723993</v>
      </c>
    </row>
    <row r="116" spans="1:6" x14ac:dyDescent="0.2">
      <c r="A116" t="s">
        <v>641</v>
      </c>
      <c r="B116">
        <v>8</v>
      </c>
      <c r="C116">
        <v>3</v>
      </c>
      <c r="D116" s="2">
        <v>29401</v>
      </c>
      <c r="E116" s="2">
        <v>7868</v>
      </c>
      <c r="F116" s="3">
        <f t="shared" si="6"/>
        <v>0.26760994523995785</v>
      </c>
    </row>
    <row r="117" spans="1:6" x14ac:dyDescent="0.2">
      <c r="A117" t="s">
        <v>642</v>
      </c>
      <c r="B117">
        <v>8</v>
      </c>
      <c r="C117">
        <v>4</v>
      </c>
      <c r="D117" s="2">
        <v>28115</v>
      </c>
      <c r="E117" s="2">
        <v>7540</v>
      </c>
      <c r="F117" s="3">
        <f t="shared" si="6"/>
        <v>0.26818424328650187</v>
      </c>
    </row>
    <row r="118" spans="1:6" x14ac:dyDescent="0.2">
      <c r="A118" t="s">
        <v>643</v>
      </c>
      <c r="B118">
        <v>8</v>
      </c>
      <c r="C118">
        <v>5</v>
      </c>
      <c r="D118" s="2">
        <v>28956</v>
      </c>
      <c r="E118" s="2">
        <v>8386</v>
      </c>
      <c r="F118" s="3">
        <f t="shared" si="6"/>
        <v>0.28961182483768477</v>
      </c>
    </row>
    <row r="119" spans="1:6" x14ac:dyDescent="0.2">
      <c r="A119" t="s">
        <v>644</v>
      </c>
      <c r="B119">
        <v>8</v>
      </c>
      <c r="C119">
        <v>6</v>
      </c>
      <c r="D119" s="2">
        <v>29098</v>
      </c>
      <c r="E119" s="2">
        <v>8374</v>
      </c>
      <c r="F119" s="3">
        <f t="shared" si="6"/>
        <v>0.28778610213760397</v>
      </c>
    </row>
    <row r="120" spans="1:6" x14ac:dyDescent="0.2">
      <c r="A120" t="s">
        <v>645</v>
      </c>
      <c r="B120">
        <v>8</v>
      </c>
      <c r="C120">
        <v>7</v>
      </c>
      <c r="D120" s="2">
        <v>29464</v>
      </c>
      <c r="E120" s="2">
        <v>8348</v>
      </c>
      <c r="F120" s="3">
        <f t="shared" si="6"/>
        <v>0.28332880803692639</v>
      </c>
    </row>
    <row r="121" spans="1:6" x14ac:dyDescent="0.2">
      <c r="A121" t="s">
        <v>646</v>
      </c>
      <c r="B121">
        <v>8</v>
      </c>
      <c r="C121">
        <v>8</v>
      </c>
      <c r="D121" s="2">
        <v>27948</v>
      </c>
      <c r="E121" s="2">
        <v>7841</v>
      </c>
      <c r="F121" s="3">
        <f t="shared" si="6"/>
        <v>0.28055674824674393</v>
      </c>
    </row>
    <row r="122" spans="1:6" x14ac:dyDescent="0.2">
      <c r="A122" t="s">
        <v>647</v>
      </c>
      <c r="B122">
        <v>8</v>
      </c>
      <c r="C122">
        <v>9</v>
      </c>
      <c r="D122" s="2">
        <v>29418</v>
      </c>
      <c r="E122" s="2">
        <v>7959</v>
      </c>
      <c r="F122" s="3">
        <f t="shared" si="6"/>
        <v>0.27054864368753823</v>
      </c>
    </row>
    <row r="123" spans="1:6" x14ac:dyDescent="0.2">
      <c r="A123" t="s">
        <v>648</v>
      </c>
      <c r="B123">
        <v>8</v>
      </c>
      <c r="C123">
        <v>10</v>
      </c>
      <c r="D123" s="2">
        <v>28130</v>
      </c>
      <c r="E123" s="2">
        <v>7789</v>
      </c>
      <c r="F123" s="3">
        <f t="shared" si="6"/>
        <v>0.27689299680056878</v>
      </c>
    </row>
    <row r="124" spans="1:6" x14ac:dyDescent="0.2">
      <c r="A124" t="s">
        <v>649</v>
      </c>
      <c r="B124">
        <v>8</v>
      </c>
      <c r="C124">
        <v>11</v>
      </c>
      <c r="D124" s="2">
        <v>29906</v>
      </c>
      <c r="E124" s="2">
        <v>8142</v>
      </c>
      <c r="F124" s="3">
        <f t="shared" si="6"/>
        <v>0.27225305958670498</v>
      </c>
    </row>
    <row r="125" spans="1:6" x14ac:dyDescent="0.2">
      <c r="A125" t="s">
        <v>650</v>
      </c>
      <c r="B125">
        <v>8</v>
      </c>
      <c r="C125">
        <v>12</v>
      </c>
      <c r="D125" s="2">
        <v>29254</v>
      </c>
      <c r="E125" s="2">
        <v>7873</v>
      </c>
      <c r="F125" s="3">
        <f t="shared" si="6"/>
        <v>0.26912558966295208</v>
      </c>
    </row>
    <row r="126" spans="1:6" x14ac:dyDescent="0.2">
      <c r="A126" t="s">
        <v>651</v>
      </c>
      <c r="B126">
        <v>9</v>
      </c>
      <c r="C126">
        <v>1</v>
      </c>
      <c r="D126" s="2">
        <v>28165</v>
      </c>
      <c r="E126" s="2">
        <v>7793</v>
      </c>
      <c r="F126" s="3">
        <f t="shared" si="6"/>
        <v>0.27669092845730514</v>
      </c>
    </row>
    <row r="127" spans="1:6" x14ac:dyDescent="0.2">
      <c r="A127" t="s">
        <v>652</v>
      </c>
      <c r="B127">
        <v>9</v>
      </c>
      <c r="C127">
        <v>2</v>
      </c>
      <c r="D127" s="2">
        <v>28059</v>
      </c>
      <c r="E127" s="2">
        <v>7919</v>
      </c>
      <c r="F127" s="3">
        <f t="shared" si="6"/>
        <v>0.28222673651947683</v>
      </c>
    </row>
    <row r="128" spans="1:6" x14ac:dyDescent="0.2">
      <c r="A128" t="s">
        <v>653</v>
      </c>
      <c r="B128">
        <v>9</v>
      </c>
      <c r="C128">
        <v>3</v>
      </c>
      <c r="D128" s="2">
        <v>28411</v>
      </c>
      <c r="E128" s="2">
        <v>7421</v>
      </c>
      <c r="F128" s="3">
        <f t="shared" si="6"/>
        <v>0.26120164724930484</v>
      </c>
    </row>
    <row r="129" spans="1:6" x14ac:dyDescent="0.2">
      <c r="A129" t="s">
        <v>654</v>
      </c>
      <c r="B129">
        <v>9</v>
      </c>
      <c r="C129">
        <v>4</v>
      </c>
      <c r="D129" s="2">
        <v>27935</v>
      </c>
      <c r="E129" s="2">
        <v>7661</v>
      </c>
      <c r="F129" s="3">
        <f t="shared" si="6"/>
        <v>0.27424378020404511</v>
      </c>
    </row>
    <row r="130" spans="1:6" x14ac:dyDescent="0.2">
      <c r="A130" t="s">
        <v>655</v>
      </c>
      <c r="B130">
        <v>9</v>
      </c>
      <c r="C130">
        <v>5</v>
      </c>
      <c r="D130" s="2">
        <v>27933</v>
      </c>
      <c r="E130" s="2">
        <v>7531</v>
      </c>
      <c r="F130" s="3">
        <f t="shared" si="6"/>
        <v>0.26960942254680842</v>
      </c>
    </row>
    <row r="131" spans="1:6" x14ac:dyDescent="0.2">
      <c r="A131" t="s">
        <v>656</v>
      </c>
      <c r="B131">
        <v>9</v>
      </c>
      <c r="C131">
        <v>6</v>
      </c>
      <c r="D131" s="2">
        <v>28429</v>
      </c>
      <c r="E131" s="2">
        <v>7751</v>
      </c>
      <c r="F131" s="3">
        <f t="shared" si="6"/>
        <v>0.27264413099300011</v>
      </c>
    </row>
    <row r="132" spans="1:6" x14ac:dyDescent="0.2">
      <c r="A132" t="s">
        <v>657</v>
      </c>
      <c r="B132">
        <v>9</v>
      </c>
      <c r="C132">
        <v>7</v>
      </c>
      <c r="D132" s="2">
        <v>28677</v>
      </c>
      <c r="E132" s="2">
        <v>7646</v>
      </c>
      <c r="F132" s="3">
        <f t="shared" si="6"/>
        <v>0.26662482128535064</v>
      </c>
    </row>
    <row r="133" spans="1:6" x14ac:dyDescent="0.2">
      <c r="A133" t="s">
        <v>658</v>
      </c>
      <c r="B133">
        <v>9</v>
      </c>
      <c r="C133">
        <v>8</v>
      </c>
      <c r="D133" s="2">
        <v>28092</v>
      </c>
      <c r="E133" s="2">
        <v>7818</v>
      </c>
      <c r="F133" s="3">
        <f t="shared" si="6"/>
        <v>0.27829987184963689</v>
      </c>
    </row>
    <row r="134" spans="1:6" x14ac:dyDescent="0.2">
      <c r="A134" t="s">
        <v>659</v>
      </c>
      <c r="B134">
        <v>9</v>
      </c>
      <c r="C134">
        <v>9</v>
      </c>
      <c r="D134" s="2">
        <v>29494</v>
      </c>
      <c r="E134" s="2">
        <v>7717</v>
      </c>
      <c r="F134" s="3">
        <f t="shared" si="6"/>
        <v>0.26164643656336883</v>
      </c>
    </row>
    <row r="135" spans="1:6" x14ac:dyDescent="0.2">
      <c r="A135" t="s">
        <v>660</v>
      </c>
      <c r="B135">
        <v>9</v>
      </c>
      <c r="C135">
        <v>10</v>
      </c>
      <c r="D135" s="2">
        <v>28106</v>
      </c>
      <c r="E135" s="2">
        <v>7423</v>
      </c>
      <c r="F135" s="3">
        <f t="shared" si="6"/>
        <v>0.26410730804810362</v>
      </c>
    </row>
    <row r="136" spans="1:6" x14ac:dyDescent="0.2">
      <c r="A136" t="s">
        <v>661</v>
      </c>
      <c r="B136">
        <v>9</v>
      </c>
      <c r="C136">
        <v>11</v>
      </c>
      <c r="D136" s="2">
        <v>29361</v>
      </c>
      <c r="E136" s="2">
        <v>7739</v>
      </c>
      <c r="F136" s="3">
        <f t="shared" si="6"/>
        <v>0.26358094070365451</v>
      </c>
    </row>
    <row r="137" spans="1:6" x14ac:dyDescent="0.2">
      <c r="A137" t="s">
        <v>662</v>
      </c>
      <c r="B137">
        <v>9</v>
      </c>
      <c r="C137">
        <v>12</v>
      </c>
      <c r="D137" s="2">
        <v>29267</v>
      </c>
      <c r="E137" s="2">
        <v>7855</v>
      </c>
      <c r="F137" s="3">
        <f t="shared" si="6"/>
        <v>0.26839102060340997</v>
      </c>
    </row>
    <row r="138" spans="1:6" x14ac:dyDescent="0.2">
      <c r="A138" t="s">
        <v>531</v>
      </c>
      <c r="B138">
        <v>10</v>
      </c>
      <c r="C138">
        <v>1</v>
      </c>
      <c r="D138" s="2">
        <v>28891</v>
      </c>
      <c r="E138" s="2">
        <v>7390</v>
      </c>
      <c r="F138" s="3">
        <f t="shared" si="6"/>
        <v>0.25578900003461286</v>
      </c>
    </row>
    <row r="139" spans="1:6" x14ac:dyDescent="0.2">
      <c r="A139" t="s">
        <v>532</v>
      </c>
      <c r="B139">
        <v>10</v>
      </c>
      <c r="C139">
        <v>2</v>
      </c>
      <c r="D139" s="2">
        <v>28807</v>
      </c>
      <c r="E139" s="2">
        <v>7511</v>
      </c>
      <c r="F139" s="3">
        <f t="shared" si="6"/>
        <v>0.26073523796299508</v>
      </c>
    </row>
    <row r="140" spans="1:6" x14ac:dyDescent="0.2">
      <c r="A140" t="s">
        <v>533</v>
      </c>
      <c r="B140">
        <v>10</v>
      </c>
      <c r="C140">
        <v>3</v>
      </c>
      <c r="D140" s="2">
        <v>29938</v>
      </c>
      <c r="E140" s="2">
        <v>7304</v>
      </c>
      <c r="F140" s="3">
        <f t="shared" si="6"/>
        <v>0.24397087313781815</v>
      </c>
    </row>
    <row r="141" spans="1:6" x14ac:dyDescent="0.2">
      <c r="A141" t="s">
        <v>534</v>
      </c>
      <c r="B141">
        <v>10</v>
      </c>
      <c r="C141">
        <v>4</v>
      </c>
      <c r="D141" s="2">
        <v>28659</v>
      </c>
      <c r="E141" s="2">
        <v>7390</v>
      </c>
      <c r="F141" s="3">
        <f t="shared" si="6"/>
        <v>0.25785966014166578</v>
      </c>
    </row>
    <row r="142" spans="1:6" x14ac:dyDescent="0.2">
      <c r="A142" t="s">
        <v>535</v>
      </c>
      <c r="B142">
        <v>10</v>
      </c>
      <c r="C142">
        <v>5</v>
      </c>
      <c r="D142" s="2">
        <v>28972</v>
      </c>
      <c r="E142" s="2">
        <v>7464</v>
      </c>
      <c r="F142" s="3">
        <f t="shared" si="6"/>
        <v>0.25762805467347782</v>
      </c>
    </row>
    <row r="143" spans="1:6" x14ac:dyDescent="0.2">
      <c r="A143" t="s">
        <v>536</v>
      </c>
      <c r="B143">
        <v>10</v>
      </c>
      <c r="C143">
        <v>6</v>
      </c>
      <c r="D143" s="2">
        <v>29124</v>
      </c>
      <c r="E143" s="2">
        <v>7424</v>
      </c>
      <c r="F143" s="3">
        <f t="shared" si="6"/>
        <v>0.25491003982969374</v>
      </c>
    </row>
    <row r="144" spans="1:6" x14ac:dyDescent="0.2">
      <c r="A144" t="s">
        <v>537</v>
      </c>
      <c r="B144">
        <v>10</v>
      </c>
      <c r="C144">
        <v>7</v>
      </c>
      <c r="D144" s="2">
        <v>29352</v>
      </c>
      <c r="E144" s="2">
        <v>7496</v>
      </c>
      <c r="F144" s="3">
        <f t="shared" si="6"/>
        <v>0.25538293813028073</v>
      </c>
    </row>
    <row r="145" spans="1:6" x14ac:dyDescent="0.2">
      <c r="A145" t="s">
        <v>538</v>
      </c>
      <c r="B145">
        <v>10</v>
      </c>
      <c r="C145">
        <v>8</v>
      </c>
      <c r="D145" s="2">
        <v>28115</v>
      </c>
      <c r="E145" s="2">
        <v>7323</v>
      </c>
      <c r="F145" s="3">
        <f t="shared" si="6"/>
        <v>0.26046594344655877</v>
      </c>
    </row>
    <row r="146" spans="1:6" x14ac:dyDescent="0.2">
      <c r="A146" t="s">
        <v>539</v>
      </c>
      <c r="B146">
        <v>10</v>
      </c>
      <c r="C146">
        <v>9</v>
      </c>
      <c r="D146" s="2">
        <v>29952</v>
      </c>
      <c r="E146" s="2">
        <v>7465</v>
      </c>
      <c r="F146" s="3">
        <f t="shared" si="6"/>
        <v>0.24923210470085469</v>
      </c>
    </row>
    <row r="147" spans="1:6" x14ac:dyDescent="0.2">
      <c r="A147" t="s">
        <v>540</v>
      </c>
      <c r="B147">
        <v>10</v>
      </c>
      <c r="C147">
        <v>10</v>
      </c>
      <c r="D147" s="2">
        <v>28267</v>
      </c>
      <c r="E147" s="2">
        <v>7078</v>
      </c>
      <c r="F147" s="3">
        <f t="shared" si="6"/>
        <v>0.25039799058973361</v>
      </c>
    </row>
    <row r="148" spans="1:6" x14ac:dyDescent="0.2">
      <c r="A148" t="s">
        <v>541</v>
      </c>
      <c r="B148">
        <v>10</v>
      </c>
      <c r="C148">
        <v>11</v>
      </c>
      <c r="D148" s="2">
        <v>30219</v>
      </c>
      <c r="E148" s="2">
        <v>7544</v>
      </c>
      <c r="F148" s="3">
        <f t="shared" si="6"/>
        <v>0.2496442635428042</v>
      </c>
    </row>
    <row r="149" spans="1:6" x14ac:dyDescent="0.2">
      <c r="A149" t="s">
        <v>542</v>
      </c>
      <c r="B149">
        <v>10</v>
      </c>
      <c r="C149">
        <v>12</v>
      </c>
      <c r="D149" s="2">
        <v>29550</v>
      </c>
      <c r="E149" s="2">
        <v>7490</v>
      </c>
      <c r="F149" s="3">
        <f t="shared" si="6"/>
        <v>0.25346869712351944</v>
      </c>
    </row>
    <row r="150" spans="1:6" x14ac:dyDescent="0.2">
      <c r="A150" t="s">
        <v>543</v>
      </c>
      <c r="B150">
        <v>11</v>
      </c>
      <c r="C150">
        <v>1</v>
      </c>
      <c r="D150" s="2">
        <v>33512</v>
      </c>
      <c r="E150" s="2">
        <v>7109</v>
      </c>
      <c r="F150" s="3">
        <f t="shared" si="6"/>
        <v>0.21213296729529721</v>
      </c>
    </row>
    <row r="151" spans="1:6" x14ac:dyDescent="0.2">
      <c r="A151" t="s">
        <v>544</v>
      </c>
      <c r="B151">
        <v>11</v>
      </c>
      <c r="C151">
        <v>2</v>
      </c>
      <c r="D151" s="2">
        <v>32892</v>
      </c>
      <c r="E151" s="2">
        <v>7470</v>
      </c>
      <c r="F151" s="3">
        <f t="shared" si="6"/>
        <v>0.22710689529368844</v>
      </c>
    </row>
    <row r="152" spans="1:6" x14ac:dyDescent="0.2">
      <c r="A152" t="s">
        <v>545</v>
      </c>
      <c r="B152">
        <v>11</v>
      </c>
      <c r="C152">
        <v>3</v>
      </c>
      <c r="D152" s="2">
        <v>32787</v>
      </c>
      <c r="E152" s="2">
        <v>7601</v>
      </c>
      <c r="F152" s="3">
        <f t="shared" si="6"/>
        <v>0.23182968859608991</v>
      </c>
    </row>
    <row r="153" spans="1:6" x14ac:dyDescent="0.2">
      <c r="A153" t="s">
        <v>546</v>
      </c>
      <c r="B153">
        <v>11</v>
      </c>
      <c r="C153">
        <v>4</v>
      </c>
      <c r="D153" s="2">
        <v>32035</v>
      </c>
      <c r="E153" s="2">
        <v>7470</v>
      </c>
      <c r="F153" s="3">
        <f t="shared" si="6"/>
        <v>0.2331824566879975</v>
      </c>
    </row>
    <row r="154" spans="1:6" x14ac:dyDescent="0.2">
      <c r="A154" t="s">
        <v>547</v>
      </c>
      <c r="B154">
        <v>11</v>
      </c>
      <c r="C154">
        <v>5</v>
      </c>
      <c r="D154" s="2">
        <v>32998</v>
      </c>
      <c r="E154" s="2">
        <v>7831</v>
      </c>
      <c r="F154" s="3">
        <f t="shared" si="6"/>
        <v>0.23731741317655616</v>
      </c>
    </row>
    <row r="155" spans="1:6" x14ac:dyDescent="0.2">
      <c r="A155" t="s">
        <v>548</v>
      </c>
      <c r="B155">
        <v>11</v>
      </c>
      <c r="C155">
        <v>6</v>
      </c>
      <c r="D155" s="2">
        <v>31918</v>
      </c>
      <c r="E155" s="2">
        <v>6894</v>
      </c>
      <c r="F155" s="3">
        <f t="shared" si="6"/>
        <v>0.21599097687825053</v>
      </c>
    </row>
    <row r="156" spans="1:6" x14ac:dyDescent="0.2">
      <c r="A156" t="s">
        <v>549</v>
      </c>
      <c r="B156">
        <v>11</v>
      </c>
      <c r="C156">
        <v>7</v>
      </c>
      <c r="D156" s="2">
        <v>32579</v>
      </c>
      <c r="E156" s="2">
        <v>7614</v>
      </c>
      <c r="F156" s="3">
        <f t="shared" si="6"/>
        <v>0.2337088308419534</v>
      </c>
    </row>
    <row r="157" spans="1:6" x14ac:dyDescent="0.2">
      <c r="A157" t="s">
        <v>550</v>
      </c>
      <c r="B157">
        <v>11</v>
      </c>
      <c r="C157">
        <v>8</v>
      </c>
      <c r="D157" s="2">
        <v>32664</v>
      </c>
      <c r="E157" s="2">
        <v>7746</v>
      </c>
      <c r="F157" s="3">
        <f t="shared" si="6"/>
        <v>0.23714180749448935</v>
      </c>
    </row>
    <row r="158" spans="1:6" x14ac:dyDescent="0.2">
      <c r="A158" s="5" t="s">
        <v>551</v>
      </c>
      <c r="B158" s="5">
        <v>11</v>
      </c>
      <c r="C158" s="5">
        <v>9</v>
      </c>
      <c r="D158" s="6">
        <v>25293</v>
      </c>
      <c r="E158" s="6">
        <v>874</v>
      </c>
      <c r="F158" s="7">
        <f t="shared" si="6"/>
        <v>3.4555015221602814E-2</v>
      </c>
    </row>
    <row r="159" spans="1:6" x14ac:dyDescent="0.2">
      <c r="A159" t="s">
        <v>552</v>
      </c>
      <c r="B159">
        <v>11</v>
      </c>
      <c r="C159">
        <v>10</v>
      </c>
      <c r="D159" s="2">
        <v>32047</v>
      </c>
      <c r="E159" s="2">
        <v>7448</v>
      </c>
      <c r="F159" s="3">
        <f t="shared" ref="F159:F173" si="7">E159/D159</f>
        <v>0.23240864979561268</v>
      </c>
    </row>
    <row r="160" spans="1:6" x14ac:dyDescent="0.2">
      <c r="A160" t="s">
        <v>553</v>
      </c>
      <c r="B160">
        <v>11</v>
      </c>
      <c r="C160">
        <v>11</v>
      </c>
      <c r="D160" s="2">
        <v>32478</v>
      </c>
      <c r="E160" s="2">
        <v>7437</v>
      </c>
      <c r="F160" s="3">
        <f t="shared" si="7"/>
        <v>0.22898577498614447</v>
      </c>
    </row>
    <row r="161" spans="1:6" x14ac:dyDescent="0.2">
      <c r="A161" t="s">
        <v>554</v>
      </c>
      <c r="B161">
        <v>11</v>
      </c>
      <c r="C161">
        <v>12</v>
      </c>
      <c r="D161" s="2">
        <v>32003</v>
      </c>
      <c r="E161" s="2">
        <v>7325</v>
      </c>
      <c r="F161" s="3">
        <f t="shared" si="7"/>
        <v>0.22888479205074524</v>
      </c>
    </row>
    <row r="162" spans="1:6" x14ac:dyDescent="0.2">
      <c r="A162" t="s">
        <v>555</v>
      </c>
      <c r="B162">
        <v>12</v>
      </c>
      <c r="C162">
        <v>1</v>
      </c>
      <c r="D162" s="2">
        <v>32612</v>
      </c>
      <c r="E162" s="2">
        <v>7645</v>
      </c>
      <c r="F162" s="3">
        <f t="shared" si="7"/>
        <v>0.2344229118116031</v>
      </c>
    </row>
    <row r="163" spans="1:6" x14ac:dyDescent="0.2">
      <c r="A163" t="s">
        <v>556</v>
      </c>
      <c r="B163">
        <v>12</v>
      </c>
      <c r="C163">
        <v>2</v>
      </c>
      <c r="D163" s="2">
        <v>32045</v>
      </c>
      <c r="E163" s="2">
        <v>7489</v>
      </c>
      <c r="F163" s="3">
        <f t="shared" si="7"/>
        <v>0.2337026057107193</v>
      </c>
    </row>
    <row r="164" spans="1:6" x14ac:dyDescent="0.2">
      <c r="A164" t="s">
        <v>557</v>
      </c>
      <c r="B164">
        <v>12</v>
      </c>
      <c r="C164">
        <v>3</v>
      </c>
      <c r="D164" s="2">
        <v>32514</v>
      </c>
      <c r="E164" s="2">
        <v>7893</v>
      </c>
      <c r="F164" s="3">
        <f t="shared" si="7"/>
        <v>0.24275696622993173</v>
      </c>
    </row>
    <row r="165" spans="1:6" x14ac:dyDescent="0.2">
      <c r="A165" t="s">
        <v>558</v>
      </c>
      <c r="B165">
        <v>12</v>
      </c>
      <c r="C165">
        <v>4</v>
      </c>
      <c r="D165" s="2">
        <v>32382</v>
      </c>
      <c r="E165" s="2">
        <v>7756</v>
      </c>
      <c r="F165" s="3">
        <f t="shared" si="7"/>
        <v>0.23951578037181151</v>
      </c>
    </row>
    <row r="166" spans="1:6" x14ac:dyDescent="0.2">
      <c r="A166" t="s">
        <v>559</v>
      </c>
      <c r="B166">
        <v>12</v>
      </c>
      <c r="C166">
        <v>5</v>
      </c>
      <c r="D166" s="2">
        <v>31731</v>
      </c>
      <c r="E166" s="2">
        <v>7284</v>
      </c>
      <c r="F166" s="3">
        <f t="shared" si="7"/>
        <v>0.22955469414767893</v>
      </c>
    </row>
    <row r="167" spans="1:6" x14ac:dyDescent="0.2">
      <c r="A167" t="s">
        <v>560</v>
      </c>
      <c r="B167">
        <v>12</v>
      </c>
      <c r="C167">
        <v>6</v>
      </c>
      <c r="D167" s="2">
        <v>32477</v>
      </c>
      <c r="E167" s="2">
        <v>7355</v>
      </c>
      <c r="F167" s="3">
        <f t="shared" si="7"/>
        <v>0.22646796194229762</v>
      </c>
    </row>
    <row r="168" spans="1:6" x14ac:dyDescent="0.2">
      <c r="A168" t="s">
        <v>561</v>
      </c>
      <c r="B168">
        <v>12</v>
      </c>
      <c r="C168">
        <v>7</v>
      </c>
      <c r="D168" s="2">
        <v>31660</v>
      </c>
      <c r="E168" s="2">
        <v>7381</v>
      </c>
      <c r="F168" s="3">
        <f t="shared" si="7"/>
        <v>0.23313329121920404</v>
      </c>
    </row>
    <row r="169" spans="1:6" x14ac:dyDescent="0.2">
      <c r="A169" t="s">
        <v>562</v>
      </c>
      <c r="B169">
        <v>12</v>
      </c>
      <c r="C169">
        <v>8</v>
      </c>
      <c r="D169" s="2">
        <v>32123</v>
      </c>
      <c r="E169" s="2">
        <v>7277</v>
      </c>
      <c r="F169" s="3">
        <f t="shared" si="7"/>
        <v>0.22653550415590076</v>
      </c>
    </row>
    <row r="170" spans="1:6" x14ac:dyDescent="0.2">
      <c r="A170" t="s">
        <v>563</v>
      </c>
      <c r="B170">
        <v>12</v>
      </c>
      <c r="C170">
        <v>9</v>
      </c>
      <c r="D170" s="2">
        <v>32548</v>
      </c>
      <c r="E170" s="2">
        <v>7742</v>
      </c>
      <c r="F170" s="3">
        <f t="shared" si="7"/>
        <v>0.23786407766990292</v>
      </c>
    </row>
    <row r="171" spans="1:6" x14ac:dyDescent="0.2">
      <c r="A171" t="s">
        <v>564</v>
      </c>
      <c r="B171">
        <v>12</v>
      </c>
      <c r="C171">
        <v>10</v>
      </c>
      <c r="D171" s="2">
        <v>31988</v>
      </c>
      <c r="E171" s="2">
        <v>7269</v>
      </c>
      <c r="F171" s="3">
        <f t="shared" si="7"/>
        <v>0.22724146554958111</v>
      </c>
    </row>
    <row r="172" spans="1:6" x14ac:dyDescent="0.2">
      <c r="A172" t="s">
        <v>565</v>
      </c>
      <c r="B172">
        <v>12</v>
      </c>
      <c r="C172">
        <v>11</v>
      </c>
      <c r="D172" s="2">
        <v>31991</v>
      </c>
      <c r="E172" s="2">
        <v>7341</v>
      </c>
      <c r="F172" s="3">
        <f t="shared" si="7"/>
        <v>0.22947078865931042</v>
      </c>
    </row>
    <row r="173" spans="1:6" x14ac:dyDescent="0.2">
      <c r="A173" t="s">
        <v>566</v>
      </c>
      <c r="B173">
        <v>12</v>
      </c>
      <c r="C173">
        <v>12</v>
      </c>
      <c r="D173" s="2">
        <v>32447</v>
      </c>
      <c r="E173" s="2">
        <v>7518</v>
      </c>
      <c r="F173" s="3">
        <f t="shared" si="7"/>
        <v>0.2317009276666564</v>
      </c>
    </row>
  </sheetData>
  <autoFilter ref="A29:E29" xr:uid="{32F29117-5009-5B4B-8795-12E170F00F18}">
    <sortState xmlns:xlrd2="http://schemas.microsoft.com/office/spreadsheetml/2017/richdata2" ref="A30:E173">
      <sortCondition ref="B29:B1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cc_samples_annot</vt:lpstr>
      <vt:lpstr>dataset_stats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Wilmarth</dc:creator>
  <cp:lastModifiedBy>Phillip Wilmarth</cp:lastModifiedBy>
  <dcterms:created xsi:type="dcterms:W3CDTF">2025-11-07T00:42:23Z</dcterms:created>
  <dcterms:modified xsi:type="dcterms:W3CDTF">2025-11-09T20:53:39Z</dcterms:modified>
</cp:coreProperties>
</file>